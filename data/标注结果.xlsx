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515E22A-D160-47B2-A49E-1AB7F6A3C23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来源登记" sheetId="1" r:id="rId1"/>
    <sheet name="标注表" sheetId="2" r:id="rId2"/>
    <sheet name="判断标准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4" i="2" l="1"/>
  <c r="Q14" i="2"/>
  <c r="P14" i="2"/>
  <c r="O14" i="2"/>
  <c r="N14" i="2"/>
  <c r="C14" i="2"/>
  <c r="B14" i="2"/>
  <c r="R13" i="2"/>
  <c r="Q13" i="2"/>
  <c r="P13" i="2"/>
  <c r="O13" i="2"/>
  <c r="N13" i="2"/>
  <c r="C13" i="2"/>
  <c r="B13" i="2"/>
  <c r="R12" i="2"/>
  <c r="Q12" i="2"/>
  <c r="P12" i="2"/>
  <c r="O12" i="2"/>
  <c r="N12" i="2"/>
  <c r="C12" i="2"/>
  <c r="B12" i="2"/>
  <c r="R11" i="2"/>
  <c r="Q11" i="2"/>
  <c r="P11" i="2"/>
  <c r="O11" i="2"/>
  <c r="N11" i="2"/>
  <c r="C11" i="2"/>
  <c r="B11" i="2"/>
  <c r="R10" i="2"/>
  <c r="Q10" i="2"/>
  <c r="P10" i="2"/>
  <c r="O10" i="2"/>
  <c r="N10" i="2"/>
  <c r="C10" i="2"/>
  <c r="B10" i="2"/>
  <c r="R9" i="2"/>
  <c r="Q9" i="2"/>
  <c r="P9" i="2"/>
  <c r="O9" i="2"/>
  <c r="N9" i="2"/>
  <c r="C9" i="2"/>
  <c r="B9" i="2"/>
  <c r="R8" i="2"/>
  <c r="Q8" i="2"/>
  <c r="P8" i="2"/>
  <c r="O8" i="2"/>
  <c r="N8" i="2"/>
  <c r="C8" i="2"/>
  <c r="B8" i="2"/>
  <c r="R7" i="2"/>
  <c r="Q7" i="2"/>
  <c r="P7" i="2"/>
  <c r="O7" i="2"/>
  <c r="N7" i="2"/>
  <c r="C7" i="2"/>
  <c r="B7" i="2"/>
  <c r="R6" i="2"/>
  <c r="Q6" i="2"/>
  <c r="P6" i="2"/>
  <c r="O6" i="2"/>
  <c r="N6" i="2"/>
  <c r="C6" i="2"/>
  <c r="B6" i="2"/>
  <c r="R5" i="2"/>
  <c r="Q5" i="2"/>
  <c r="P5" i="2"/>
  <c r="O5" i="2"/>
  <c r="N5" i="2"/>
  <c r="D21" i="2" l="1"/>
  <c r="I20" i="2"/>
  <c r="E20" i="2"/>
  <c r="K19" i="2"/>
  <c r="H19" i="2"/>
  <c r="E19" i="2"/>
  <c r="K18" i="2"/>
  <c r="H18" i="2"/>
  <c r="E18" i="2"/>
  <c r="K17" i="2"/>
  <c r="H17" i="2"/>
  <c r="E17" i="2"/>
  <c r="F17" i="2"/>
  <c r="J21" i="2"/>
  <c r="G21" i="2"/>
  <c r="E21" i="2"/>
  <c r="K20" i="2"/>
  <c r="H20" i="2"/>
  <c r="G20" i="2"/>
  <c r="D20" i="2"/>
  <c r="J19" i="2"/>
  <c r="G19" i="2"/>
  <c r="D19" i="2"/>
  <c r="J18" i="2"/>
  <c r="G18" i="2"/>
  <c r="D18" i="2"/>
  <c r="J17" i="2"/>
  <c r="G17" i="2"/>
  <c r="D17" i="2"/>
  <c r="I21" i="2"/>
  <c r="H21" i="2"/>
  <c r="F21" i="2"/>
  <c r="L20" i="2"/>
  <c r="J20" i="2"/>
  <c r="F20" i="2"/>
  <c r="L19" i="2"/>
  <c r="I19" i="2"/>
  <c r="F19" i="2"/>
  <c r="L18" i="2"/>
  <c r="I18" i="2"/>
  <c r="F18" i="2"/>
  <c r="L17" i="2"/>
  <c r="I17" i="2"/>
  <c r="L21" i="2"/>
  <c r="K21" i="2"/>
</calcChain>
</file>

<file path=xl/sharedStrings.xml><?xml version="1.0" encoding="utf-8"?>
<sst xmlns="http://schemas.openxmlformats.org/spreadsheetml/2006/main" count="373" uniqueCount="215">
  <si>
    <t>来源登记</t>
  </si>
  <si>
    <t>黄色格为需要填写的内容。“用途”列可在开始标注前调整，开始后不再改动。</t>
  </si>
  <si>
    <t>编号</t>
  </si>
  <si>
    <t>平台</t>
  </si>
  <si>
    <t>用途</t>
  </si>
  <si>
    <t>平台类型</t>
  </si>
  <si>
    <t>规则名称</t>
  </si>
  <si>
    <t>规则网址</t>
  </si>
  <si>
    <t>访问日期</t>
  </si>
  <si>
    <t>规则生效/更新日期</t>
  </si>
  <si>
    <t>运营主体（以规则写明为准）</t>
  </si>
  <si>
    <t>文件名</t>
  </si>
  <si>
    <t>备注</t>
  </si>
  <si>
    <t>淘宝（含天猫）</t>
  </si>
  <si>
    <t>例题</t>
  </si>
  <si>
    <t>综合电商</t>
  </si>
  <si>
    <t>阿里巴巴知识产权保护平台 原则&amp;政策&amp;规则&amp;指引；投诉指引</t>
  </si>
  <si>
    <r>
      <rPr>
        <sz val="10"/>
        <color rgb="FF000000"/>
        <rFont val="微软雅黑"/>
        <family val="2"/>
        <charset val="134"/>
      </rPr>
      <t xml:space="preserve">https://ipp.alibabagroup.com/policy/cn.htm 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微软雅黑"/>
        <family val="2"/>
        <charset val="134"/>
      </rPr>
      <t>https://ipp.alibabagroup.com/instruction/cn.htm</t>
    </r>
  </si>
  <si>
    <t>2026-09-19</t>
  </si>
  <si>
    <t>页面未标注</t>
  </si>
  <si>
    <t>rule_01.txt</t>
  </si>
  <si>
    <t>阿里系平台可能共用一套知识产权保护规则，以实际规则为准</t>
  </si>
  <si>
    <t>京东</t>
  </si>
  <si>
    <t>考卷</t>
  </si>
  <si>
    <t>知产维权申诉处理规则；知产维权投诉处理规则</t>
  </si>
  <si>
    <r>
      <rPr>
        <sz val="10"/>
        <color rgb="FF000000"/>
        <rFont val="微软雅黑"/>
        <family val="2"/>
        <charset val="134"/>
      </rPr>
      <t xml:space="preserve">https://help.jd.com/user/issue/343-4124.html </t>
    </r>
    <r>
      <rPr>
        <sz val="10"/>
        <color rgb="FF000000"/>
        <rFont val="Noto Sans CJK SC"/>
        <family val="2"/>
      </rPr>
      <t>；</t>
    </r>
    <r>
      <rPr>
        <sz val="10"/>
        <color rgb="FF000000"/>
        <rFont val="微软雅黑"/>
        <family val="2"/>
        <charset val="134"/>
      </rPr>
      <t>https://help.jd.com/user/issue/343-4122.html</t>
    </r>
  </si>
  <si>
    <r>
      <rPr>
        <sz val="10"/>
        <color rgb="FF000000"/>
        <rFont val="微软雅黑"/>
        <family val="2"/>
        <charset val="134"/>
      </rPr>
      <t>2020</t>
    </r>
    <r>
      <rPr>
        <sz val="10"/>
        <color rgb="FF000000"/>
        <rFont val="Noto Sans CJK SC"/>
        <family val="2"/>
      </rPr>
      <t>年</t>
    </r>
    <r>
      <rPr>
        <sz val="10"/>
        <color rgb="FF000000"/>
        <rFont val="微软雅黑"/>
        <family val="2"/>
        <charset val="134"/>
      </rPr>
      <t>7</t>
    </r>
    <r>
      <rPr>
        <sz val="10"/>
        <color rgb="FF000000"/>
        <rFont val="Noto Sans CJK SC"/>
        <family val="2"/>
      </rPr>
      <t>月</t>
    </r>
    <r>
      <rPr>
        <sz val="10"/>
        <color rgb="FF000000"/>
        <rFont val="微软雅黑"/>
        <family val="2"/>
        <charset val="134"/>
      </rPr>
      <t>15</t>
    </r>
    <r>
      <rPr>
        <sz val="10"/>
        <color rgb="FF000000"/>
        <rFont val="Noto Sans CJK SC"/>
        <family val="2"/>
      </rPr>
      <t>日</t>
    </r>
  </si>
  <si>
    <t>rule_02.txt</t>
  </si>
  <si>
    <t>拼多多</t>
  </si>
  <si>
    <t>拼多多知识产权保护管理制度（摘录，用户复制文本）</t>
  </si>
  <si>
    <t>https://ipp.pinduoduo.com</t>
  </si>
  <si>
    <t>2026-09-20</t>
  </si>
  <si>
    <t>未标注</t>
  </si>
  <si>
    <t>rule_03.txt</t>
  </si>
  <si>
    <t>抖音电商</t>
  </si>
  <si>
    <t>内容/直播电商</t>
  </si>
  <si>
    <t>抖音电商知识产权侵权投诉处理规则（用户复制文本，文本未含标题）</t>
  </si>
  <si>
    <t>https://school.jinritemai.com/doudian/web/article/101651</t>
  </si>
  <si>
    <t>2019-07-03首次生效；2021-08-12最新修订</t>
  </si>
  <si>
    <t>rule_04.txt</t>
  </si>
  <si>
    <t>快手电商</t>
  </si>
  <si>
    <t>快手电商知识产权维权投诉指引（用户复制文本）</t>
  </si>
  <si>
    <t>https://ipp.kuaishou.com</t>
  </si>
  <si>
    <r>
      <rPr>
        <sz val="10"/>
        <color rgb="FF000000"/>
        <rFont val="微软雅黑"/>
        <family val="2"/>
        <charset val="134"/>
      </rPr>
      <t>2026-07-09</t>
    </r>
    <r>
      <rPr>
        <sz val="10"/>
        <color rgb="FF000000"/>
        <rFont val="Noto Sans CJK SC"/>
        <family val="2"/>
      </rPr>
      <t>发布</t>
    </r>
  </si>
  <si>
    <t>rule_05.txt</t>
  </si>
  <si>
    <t>小红书</t>
  </si>
  <si>
    <t>社交电商</t>
  </si>
  <si>
    <t>小红书侵权投诉指引</t>
  </si>
  <si>
    <r>
      <rPr>
        <sz val="10"/>
        <color rgb="FF000000"/>
        <rFont val="微软雅黑"/>
        <family val="2"/>
        <charset val="134"/>
      </rPr>
      <t xml:space="preserve">https://agree.xiaohongshu.com/h5/terms/ZXXY20230215001/-1 </t>
    </r>
    <r>
      <rPr>
        <sz val="10"/>
        <color rgb="FF000000"/>
        <rFont val="Noto Sans CJK SC"/>
        <family val="2"/>
      </rPr>
      <t xml:space="preserve">（正文经 </t>
    </r>
    <r>
      <rPr>
        <sz val="10"/>
        <color rgb="FF000000"/>
        <rFont val="微软雅黑"/>
        <family val="2"/>
        <charset val="134"/>
      </rPr>
      <t xml:space="preserve">elawcn.com 2026-03-31 </t>
    </r>
    <r>
      <rPr>
        <sz val="10"/>
        <color rgb="FF000000"/>
        <rFont val="Noto Sans CJK SC"/>
        <family val="2"/>
      </rPr>
      <t>转载核对）</t>
    </r>
  </si>
  <si>
    <t>rule_06.txt</t>
  </si>
  <si>
    <t>得物</t>
  </si>
  <si>
    <t>垂直电商（潮品）</t>
  </si>
  <si>
    <t>得物知识产权侵权投诉指引（用户复制文本）</t>
  </si>
  <si>
    <r>
      <rPr>
        <sz val="10"/>
        <color rgb="FF000000"/>
        <rFont val="微软雅黑"/>
        <family val="2"/>
        <charset val="134"/>
      </rPr>
      <t xml:space="preserve">https://ipp.dewu.com </t>
    </r>
    <r>
      <rPr>
        <sz val="10"/>
        <color rgb="FF000000"/>
        <rFont val="Noto Sans CJK SC"/>
        <family val="2"/>
      </rPr>
      <t>；旧版：</t>
    </r>
    <r>
      <rPr>
        <sz val="10"/>
        <color rgb="FF000000"/>
        <rFont val="微软雅黑"/>
        <family val="2"/>
        <charset val="134"/>
      </rPr>
      <t>http://www.shizhuang-inc.com/property.html</t>
    </r>
  </si>
  <si>
    <t>rule_07.txt</t>
  </si>
  <si>
    <t>唯品会</t>
  </si>
  <si>
    <t>未使用</t>
  </si>
  <si>
    <t>rule_08.txt</t>
  </si>
  <si>
    <t>注意区分自营与第三方商家；未取得官方原文，未纳入样本</t>
  </si>
  <si>
    <t>苏宁易购</t>
  </si>
  <si>
    <t>苏宁易购知识产权举报平台操作指引</t>
  </si>
  <si>
    <t>https://stc.suning.com/stc/helpCenter/showHelpDetail/SBZ200000041.htm</t>
  </si>
  <si>
    <t>rule_09.txt</t>
  </si>
  <si>
    <t>闲鱼</t>
  </si>
  <si>
    <t>二手交易</t>
  </si>
  <si>
    <t>rule_10.txt</t>
  </si>
  <si>
    <t>若规则与淘宝完全相同，换一个平台；未取得官方原文，未纳入样本</t>
  </si>
  <si>
    <t>1688</t>
  </si>
  <si>
    <r>
      <rPr>
        <sz val="10"/>
        <color rgb="FF000000"/>
        <rFont val="微软雅黑"/>
        <family val="2"/>
        <charset val="134"/>
      </rPr>
      <t>B2B</t>
    </r>
    <r>
      <rPr>
        <sz val="10"/>
        <color rgb="FF000000"/>
        <rFont val="Noto Sans CJK SC"/>
        <family val="2"/>
      </rPr>
      <t>批发</t>
    </r>
  </si>
  <si>
    <t>rule_11.txt</t>
  </si>
  <si>
    <t>美团</t>
  </si>
  <si>
    <t>本地生活/即时零售</t>
  </si>
  <si>
    <t>美团知识产权投诉处理规则（用户复制文本）</t>
  </si>
  <si>
    <t>https://ipr.meituan.com</t>
  </si>
  <si>
    <t>rule_12.txt</t>
  </si>
  <si>
    <t>微信小店</t>
  </si>
  <si>
    <t>微信小店品牌侵权投诉助手上线公告</t>
  </si>
  <si>
    <t>https://developers.weixin.qq.com/community/minihome/doc/000e4e6b5ec528795482ab6ab61401</t>
  </si>
  <si>
    <t>2024-12</t>
  </si>
  <si>
    <t>rule_13.txt</t>
  </si>
  <si>
    <t>未取得官方原文，未纳入样本</t>
  </si>
  <si>
    <t>转转</t>
  </si>
  <si>
    <t>rule_14.txt</t>
  </si>
  <si>
    <t>小米有品</t>
  </si>
  <si>
    <t>垂直电商（家居数码）</t>
  </si>
  <si>
    <t>rule_15.txt</t>
  </si>
  <si>
    <t>哔哩哔哩会员购</t>
  </si>
  <si>
    <t>垂直电商（二次元周边）</t>
  </si>
  <si>
    <t>rule_16.txt</t>
  </si>
  <si>
    <t>微店</t>
  </si>
  <si>
    <t>rule_17.txt</t>
  </si>
  <si>
    <t>当当</t>
  </si>
  <si>
    <t>垂直电商（图书）</t>
  </si>
  <si>
    <t>rule_18.txt</t>
  </si>
  <si>
    <t>蘑菇街</t>
  </si>
  <si>
    <t>rule_19.txt</t>
  </si>
  <si>
    <t>孔夫子旧书网</t>
  </si>
  <si>
    <t>二手交易（图书）</t>
  </si>
  <si>
    <t>rule_20.txt</t>
  </si>
  <si>
    <t>标注表</t>
  </si>
  <si>
    <t>在黄色格下拉选择：满足 / 部分满足 / 缺失 / 不适用。灰色行为虚构示例，不计入统计；蓝色格为自动统计。</t>
  </si>
  <si>
    <r>
      <rPr>
        <b/>
        <sz val="10"/>
        <color rgb="FFFFFFFF"/>
        <rFont val="微软雅黑"/>
        <family val="2"/>
        <charset val="134"/>
      </rPr>
      <t xml:space="preserve">1. </t>
    </r>
    <r>
      <rPr>
        <b/>
        <sz val="10"/>
        <color rgb="FFFFFFFF"/>
        <rFont val="Noto Sans CJK SC"/>
        <family val="2"/>
      </rPr>
      <t>建立知识产权保护规则
电商法</t>
    </r>
    <r>
      <rPr>
        <b/>
        <sz val="10"/>
        <color rgb="FFFFFFFF"/>
        <rFont val="微软雅黑"/>
        <family val="2"/>
        <charset val="134"/>
      </rPr>
      <t>41</t>
    </r>
    <r>
      <rPr>
        <b/>
        <sz val="10"/>
        <color rgb="FFFFFFFF"/>
        <rFont val="Noto Sans CJK SC"/>
        <family val="2"/>
      </rPr>
      <t>条</t>
    </r>
  </si>
  <si>
    <r>
      <rPr>
        <b/>
        <sz val="10"/>
        <color rgb="FFFFFFFF"/>
        <rFont val="微软雅黑"/>
        <family val="2"/>
        <charset val="134"/>
      </rPr>
      <t xml:space="preserve">2. </t>
    </r>
    <r>
      <rPr>
        <b/>
        <sz val="10"/>
        <color rgb="FFFFFFFF"/>
        <rFont val="Noto Sans CJK SC"/>
        <family val="2"/>
      </rPr>
      <t>通知须附初步证据及身份信息
电商法</t>
    </r>
    <r>
      <rPr>
        <b/>
        <sz val="10"/>
        <color rgb="FFFFFFFF"/>
        <rFont val="微软雅黑"/>
        <family val="2"/>
        <charset val="134"/>
      </rPr>
      <t>42</t>
    </r>
    <r>
      <rPr>
        <b/>
        <sz val="10"/>
        <color rgb="FFFFFFFF"/>
        <rFont val="Noto Sans CJK SC"/>
        <family val="2"/>
      </rPr>
      <t>条、民法典</t>
    </r>
    <r>
      <rPr>
        <b/>
        <sz val="10"/>
        <color rgb="FFFFFFFF"/>
        <rFont val="微软雅黑"/>
        <family val="2"/>
        <charset val="134"/>
      </rPr>
      <t>1195</t>
    </r>
    <r>
      <rPr>
        <b/>
        <sz val="10"/>
        <color rgb="FFFFFFFF"/>
        <rFont val="Noto Sans CJK SC"/>
        <family val="2"/>
      </rPr>
      <t>条</t>
    </r>
  </si>
  <si>
    <r>
      <rPr>
        <b/>
        <sz val="10"/>
        <color rgb="FFFFFFFF"/>
        <rFont val="微软雅黑"/>
        <family val="2"/>
        <charset val="134"/>
      </rPr>
      <t xml:space="preserve">3. </t>
    </r>
    <r>
      <rPr>
        <b/>
        <sz val="10"/>
        <color rgb="FFFFFFFF"/>
        <rFont val="Noto Sans CJK SC"/>
        <family val="2"/>
      </rPr>
      <t>及时采取必要措施
电商法</t>
    </r>
    <r>
      <rPr>
        <b/>
        <sz val="10"/>
        <color rgb="FFFFFFFF"/>
        <rFont val="微软雅黑"/>
        <family val="2"/>
        <charset val="134"/>
      </rPr>
      <t>42</t>
    </r>
    <r>
      <rPr>
        <b/>
        <sz val="10"/>
        <color rgb="FFFFFFFF"/>
        <rFont val="Noto Sans CJK SC"/>
        <family val="2"/>
      </rPr>
      <t>条</t>
    </r>
  </si>
  <si>
    <r>
      <rPr>
        <b/>
        <sz val="10"/>
        <color rgb="FFFFFFFF"/>
        <rFont val="微软雅黑"/>
        <family val="2"/>
        <charset val="134"/>
      </rPr>
      <t xml:space="preserve">4. </t>
    </r>
    <r>
      <rPr>
        <b/>
        <sz val="10"/>
        <color rgb="FFFFFFFF"/>
        <rFont val="Noto Sans CJK SC"/>
        <family val="2"/>
      </rPr>
      <t>将通知转送经营者
电商法</t>
    </r>
    <r>
      <rPr>
        <b/>
        <sz val="10"/>
        <color rgb="FFFFFFFF"/>
        <rFont val="微软雅黑"/>
        <family val="2"/>
        <charset val="134"/>
      </rPr>
      <t>42</t>
    </r>
    <r>
      <rPr>
        <b/>
        <sz val="10"/>
        <color rgb="FFFFFFFF"/>
        <rFont val="Noto Sans CJK SC"/>
        <family val="2"/>
      </rPr>
      <t>条</t>
    </r>
  </si>
  <si>
    <r>
      <rPr>
        <b/>
        <sz val="10"/>
        <color rgb="FFFFFFFF"/>
        <rFont val="微软雅黑"/>
        <family val="2"/>
        <charset val="134"/>
      </rPr>
      <t xml:space="preserve">5. </t>
    </r>
    <r>
      <rPr>
        <b/>
        <sz val="10"/>
        <color rgb="FFFFFFFF"/>
        <rFont val="Noto Sans CJK SC"/>
        <family val="2"/>
      </rPr>
      <t>错误</t>
    </r>
    <r>
      <rPr>
        <b/>
        <sz val="10"/>
        <color rgb="FFFFFFFF"/>
        <rFont val="微软雅黑"/>
        <family val="2"/>
        <charset val="134"/>
      </rPr>
      <t>/</t>
    </r>
    <r>
      <rPr>
        <b/>
        <sz val="10"/>
        <color rgb="FFFFFFFF"/>
        <rFont val="Noto Sans CJK SC"/>
        <family val="2"/>
      </rPr>
      <t>恶意通知的责任
电商法</t>
    </r>
    <r>
      <rPr>
        <b/>
        <sz val="10"/>
        <color rgb="FFFFFFFF"/>
        <rFont val="微软雅黑"/>
        <family val="2"/>
        <charset val="134"/>
      </rPr>
      <t>42</t>
    </r>
    <r>
      <rPr>
        <b/>
        <sz val="10"/>
        <color rgb="FFFFFFFF"/>
        <rFont val="Noto Sans CJK SC"/>
        <family val="2"/>
      </rPr>
      <t>条第</t>
    </r>
    <r>
      <rPr>
        <b/>
        <sz val="10"/>
        <color rgb="FFFFFFFF"/>
        <rFont val="微软雅黑"/>
        <family val="2"/>
        <charset val="134"/>
      </rPr>
      <t>3</t>
    </r>
    <r>
      <rPr>
        <b/>
        <sz val="10"/>
        <color rgb="FFFFFFFF"/>
        <rFont val="Noto Sans CJK SC"/>
        <family val="2"/>
      </rPr>
      <t>款</t>
    </r>
  </si>
  <si>
    <r>
      <rPr>
        <b/>
        <sz val="10"/>
        <color rgb="FFFFFFFF"/>
        <rFont val="微软雅黑"/>
        <family val="2"/>
        <charset val="134"/>
      </rPr>
      <t xml:space="preserve">6. </t>
    </r>
    <r>
      <rPr>
        <b/>
        <sz val="10"/>
        <color rgb="FFFFFFFF"/>
        <rFont val="Noto Sans CJK SC"/>
        <family val="2"/>
      </rPr>
      <t>经营者可提交不侵权声明
电商法</t>
    </r>
    <r>
      <rPr>
        <b/>
        <sz val="10"/>
        <color rgb="FFFFFFFF"/>
        <rFont val="微软雅黑"/>
        <family val="2"/>
        <charset val="134"/>
      </rPr>
      <t>43</t>
    </r>
    <r>
      <rPr>
        <b/>
        <sz val="10"/>
        <color rgb="FFFFFFFF"/>
        <rFont val="Noto Sans CJK SC"/>
        <family val="2"/>
      </rPr>
      <t>条</t>
    </r>
  </si>
  <si>
    <r>
      <rPr>
        <b/>
        <sz val="10"/>
        <color rgb="FFFFFFFF"/>
        <rFont val="微软雅黑"/>
        <family val="2"/>
        <charset val="134"/>
      </rPr>
      <t xml:space="preserve">7. </t>
    </r>
    <r>
      <rPr>
        <b/>
        <sz val="10"/>
        <color rgb="FFFFFFFF"/>
        <rFont val="Noto Sans CJK SC"/>
        <family val="2"/>
      </rPr>
      <t>转送声明并告知可投诉</t>
    </r>
    <r>
      <rPr>
        <b/>
        <sz val="10"/>
        <color rgb="FFFFFFFF"/>
        <rFont val="微软雅黑"/>
        <family val="2"/>
        <charset val="134"/>
      </rPr>
      <t>/</t>
    </r>
    <r>
      <rPr>
        <b/>
        <sz val="10"/>
        <color rgb="FFFFFFFF"/>
        <rFont val="Noto Sans CJK SC"/>
        <family val="2"/>
      </rPr>
      <t>起诉
电商法</t>
    </r>
    <r>
      <rPr>
        <b/>
        <sz val="10"/>
        <color rgb="FFFFFFFF"/>
        <rFont val="微软雅黑"/>
        <family val="2"/>
        <charset val="134"/>
      </rPr>
      <t>43</t>
    </r>
    <r>
      <rPr>
        <b/>
        <sz val="10"/>
        <color rgb="FFFFFFFF"/>
        <rFont val="Noto Sans CJK SC"/>
        <family val="2"/>
      </rPr>
      <t>条</t>
    </r>
  </si>
  <si>
    <r>
      <rPr>
        <b/>
        <sz val="10"/>
        <color rgb="FFFFFFFF"/>
        <rFont val="微软雅黑"/>
        <family val="2"/>
        <charset val="134"/>
      </rPr>
      <t>8. 15</t>
    </r>
    <r>
      <rPr>
        <b/>
        <sz val="10"/>
        <color rgb="FFFFFFFF"/>
        <rFont val="Noto Sans CJK SC"/>
        <family val="2"/>
      </rPr>
      <t>日内无投诉</t>
    </r>
    <r>
      <rPr>
        <b/>
        <sz val="10"/>
        <color rgb="FFFFFFFF"/>
        <rFont val="微软雅黑"/>
        <family val="2"/>
        <charset val="134"/>
      </rPr>
      <t>/</t>
    </r>
    <r>
      <rPr>
        <b/>
        <sz val="10"/>
        <color rgb="FFFFFFFF"/>
        <rFont val="Noto Sans CJK SC"/>
        <family val="2"/>
      </rPr>
      <t>起诉则终止措施
电商法</t>
    </r>
    <r>
      <rPr>
        <b/>
        <sz val="10"/>
        <color rgb="FFFFFFFF"/>
        <rFont val="微软雅黑"/>
        <family val="2"/>
        <charset val="134"/>
      </rPr>
      <t>43</t>
    </r>
    <r>
      <rPr>
        <b/>
        <sz val="10"/>
        <color rgb="FFFFFFFF"/>
        <rFont val="Noto Sans CJK SC"/>
        <family val="2"/>
      </rPr>
      <t>条第</t>
    </r>
    <r>
      <rPr>
        <b/>
        <sz val="10"/>
        <color rgb="FFFFFFFF"/>
        <rFont val="微软雅黑"/>
        <family val="2"/>
        <charset val="134"/>
      </rPr>
      <t>2</t>
    </r>
    <r>
      <rPr>
        <b/>
        <sz val="10"/>
        <color rgb="FFFFFFFF"/>
        <rFont val="Noto Sans CJK SC"/>
        <family val="2"/>
      </rPr>
      <t>款</t>
    </r>
  </si>
  <si>
    <r>
      <rPr>
        <b/>
        <sz val="10"/>
        <color rgb="FFFFFFFF"/>
        <rFont val="微软雅黑"/>
        <family val="2"/>
        <charset val="134"/>
      </rPr>
      <t xml:space="preserve">9. </t>
    </r>
    <r>
      <rPr>
        <b/>
        <sz val="10"/>
        <color rgb="FFFFFFFF"/>
        <rFont val="Noto Sans CJK SC"/>
        <family val="2"/>
      </rPr>
      <t>公示通知、声明及处理结果
电商法</t>
    </r>
    <r>
      <rPr>
        <b/>
        <sz val="10"/>
        <color rgb="FFFFFFFF"/>
        <rFont val="微软雅黑"/>
        <family val="2"/>
        <charset val="134"/>
      </rPr>
      <t>44</t>
    </r>
    <r>
      <rPr>
        <b/>
        <sz val="10"/>
        <color rgb="FFFFFFFF"/>
        <rFont val="Noto Sans CJK SC"/>
        <family val="2"/>
      </rPr>
      <t>条</t>
    </r>
  </si>
  <si>
    <t>原文依据（按 [项目编号] 摘录）</t>
  </si>
  <si>
    <t>满足</t>
  </si>
  <si>
    <t>部分满足</t>
  </si>
  <si>
    <t>缺失</t>
  </si>
  <si>
    <t>不适用</t>
  </si>
  <si>
    <t>已标注项数</t>
  </si>
  <si>
    <t>例</t>
  </si>
  <si>
    <t>示例平台（虚构）</t>
  </si>
  <si>
    <t>示例</t>
  </si>
  <si>
    <t>各项统计（仅考卷，不含例题和示例）</t>
  </si>
  <si>
    <t>已标注</t>
  </si>
  <si>
    <t>判断标准（起步版，随标注过程补充）</t>
  </si>
  <si>
    <t>蓝底列为预写标准，可修改；黄色的“疑难案例记录”由你在标注中填写：原文 + 你的判断 + 理由。</t>
  </si>
  <si>
    <t>检查项</t>
  </si>
  <si>
    <t>依据</t>
  </si>
  <si>
    <t>法条要求</t>
  </si>
  <si>
    <t>搜索关键词</t>
  </si>
  <si>
    <t>易错点</t>
  </si>
  <si>
    <t>疑难案例记录</t>
  </si>
  <si>
    <t>建立知识产权保护规则</t>
  </si>
  <si>
    <t>电商法41条</t>
  </si>
  <si>
    <t>平台应当建立知识产权保护规则，与权利人加强合作。</t>
  </si>
  <si>
    <t>知识产权、侵权投诉、权利人</t>
  </si>
  <si>
    <t>有专门的知识产权保护规则或投诉指引</t>
  </si>
  <si>
    <t>没有专门规则，只在用户协议中零散提及</t>
  </si>
  <si>
    <t>完全没有相关规定（后续各项基本也都是缺失）</t>
  </si>
  <si>
    <t>—（一般不应出现）</t>
  </si>
  <si>
    <t>与权利人合作机制（如权利人快速通道）属于加分项，不作为满足的必要条件。</t>
  </si>
  <si>
    <t>通知须附初步证据及身份信息</t>
  </si>
  <si>
    <t>电商法42条、民法典1195条</t>
  </si>
  <si>
    <t>通知应当包括构成侵权的初步证据，以及权利人的真实身份信息。</t>
  </si>
  <si>
    <t>投诉材料、权属证明、初步证据、身份证明、营业执照</t>
  </si>
  <si>
    <t>要求提交权属证明、侵权证据、身份材料三类</t>
  </si>
  <si>
    <t>只要求其中一两类，或笼统写“提交相关材料”</t>
  </si>
  <si>
    <t>对通知内容没有任何要求</t>
  </si>
  <si>
    <t>委托代理人投诉时，看是否要求授权委托书和代理人身份材料，可在疑难案例中记录。</t>
  </si>
  <si>
    <t>抖音电商、拼多多：规则正文只要求权属证明和侵权证据，身份材料只体现为“注册投诉账号/身份认证”的操作步骤，没有写进通知内容要求。按“只要求其中一两类”判部分满足；如果你认为账号实名认证即可算身份材料，这两家可改为满足。</t>
  </si>
  <si>
    <t>及时采取必要措施</t>
  </si>
  <si>
    <t>电商法42条</t>
  </si>
  <si>
    <t>平台接到通知后，应当及时采取删除、屏蔽、断开链接、终止交易和服务等必要措施。</t>
  </si>
  <si>
    <t>下架、删除、屏蔽、处理时限、工作日</t>
  </si>
  <si>
    <t>写明采取哪些措施，并有处理时限或“及时处理”的承诺</t>
  </si>
  <si>
    <t>写了措施但没有任何时间要求，或只说平台“可以”视情况处理</t>
  </si>
  <si>
    <t>没说接到投诉后如何处理</t>
  </si>
  <si>
    <t>法律没有规定具体天数，没写“X日内”不算缺失，只要有明确的处理承诺即可。</t>
  </si>
  <si>
    <t>抖音电商：规则2.2.1写“会及时处理”并列明措施，按规则文本判满足；但商家学习中心称平台一般先给商家约7天前置期整改/申诉，再移除或下架。规则承诺与实际流程可能不一致，建议复核。美团：删除、屏蔽、断开只出现在投诉人权利条款里，平台只承诺“及时审查”，判部分满足。 拼多多：承诺“及时采取必要措施”，但没写删除、屏蔽等具体措施，判部分满足。</t>
  </si>
  <si>
    <t>将通知转送平台内经营者</t>
  </si>
  <si>
    <t>平台应当将通知转送平台内经营者。</t>
  </si>
  <si>
    <t>转送、告知被投诉方、通知商家</t>
  </si>
  <si>
    <t>明确会把投诉内容（至少包括投诉理由和证据）告知商家</t>
  </si>
  <si>
    <t>只告诉商家“被投诉了”或处罚结果，不提供投诉内容</t>
  </si>
  <si>
    <t>完全没提通知商家</t>
  </si>
  <si>
    <t>注意区分“告知处理结果”和“转送通知”，前者不等于后者。</t>
  </si>
  <si>
    <t>淘宝（IPP）：“移除侵权链接并通知对方”，未说明是否转送投诉内容；苏宁指引未写转送，只能从商家可提交申诉声明推知。两者均判部分满足。</t>
  </si>
  <si>
    <t>错误通知、恶意通知的责任</t>
  </si>
  <si>
    <t>电商法42条第3款</t>
  </si>
  <si>
    <t>因通知错误造成经营者损害的，依法承担民事责任；恶意发出错误通知造成损失的，加倍承担赔偿责任。</t>
  </si>
  <si>
    <t>恶意投诉、错误投诉、赔偿、法律责任</t>
  </si>
  <si>
    <t>写明错误通知的民事责任，以及恶意通知加倍赔偿（或恶意投诉的法律责任）</t>
  </si>
  <si>
    <t>只写平台会限制恶意投诉账号，没提法律责任；或只提到两者之一</t>
  </si>
  <si>
    <t>完全没提</t>
  </si>
  <si>
    <t>投诉人的责任来自法律本身，不依赖平台规则。本项检查的是规则有没有告知。</t>
  </si>
  <si>
    <t>经营者可提交不侵权声明</t>
  </si>
  <si>
    <t>电商法43条</t>
  </si>
  <si>
    <t>经营者收到转送的通知后，可以提交不存在侵权行为的声明，声明应当包括初步证据。</t>
  </si>
  <si>
    <t>申诉、声明、反通知、不侵权</t>
  </si>
  <si>
    <t>允许商家申诉，并要求附不侵权的证据</t>
  </si>
  <si>
    <t>有申诉渠道，但没要求提供证据</t>
  </si>
  <si>
    <t>商家无法申诉</t>
  </si>
  <si>
    <t>有些平台的“申诉”只针对平台处罚，不针对权利人的投诉本身，遇到时记入疑难案例。</t>
  </si>
  <si>
    <t>得物：新版指引只在引言提到平台依据“被投诉方可能提交的申诉材料”判断，没有申诉入口、声明内容和证据要求；商家侧《违规管理规则》的申诉又针对平台处罚。判部分满足。 美团：把“已经整改至不侵权状态”列为申诉理由，并规定核查属实的须先整改，否则“无法形成有效申诉”，不能进入十五天反通知流程——把整改当作申诉前提，与法定的不侵权声明不同，判部分满足。</t>
  </si>
  <si>
    <t>转送声明并告知可投诉或起诉</t>
  </si>
  <si>
    <t>平台接到声明后，应当转送权利人，并告知其可以向有关主管部门投诉或向人民法院起诉。</t>
  </si>
  <si>
    <t>转送申诉、告知权利人、起诉、投诉</t>
  </si>
  <si>
    <t>转送声明和告知救济途径两者都写了</t>
  </si>
  <si>
    <t>只写了其中一个</t>
  </si>
  <si>
    <t>两者都没有</t>
  </si>
  <si>
    <r>
      <rPr>
        <sz val="10"/>
        <color rgb="FF000000"/>
        <rFont val="微软雅黑"/>
        <family val="2"/>
        <charset val="134"/>
      </rPr>
      <t>15</t>
    </r>
    <r>
      <rPr>
        <sz val="10"/>
        <color rgb="FF000000"/>
        <rFont val="Noto Sans CJK SC"/>
        <family val="2"/>
      </rPr>
      <t>日内无投诉或起诉则终止措施</t>
    </r>
  </si>
  <si>
    <t>电商法43条第2款</t>
  </si>
  <si>
    <t>转送声明到达权利人后15日内，未收到权利人已投诉或起诉的通知的，应当及时终止所采取的措施。</t>
  </si>
  <si>
    <r>
      <rPr>
        <sz val="10"/>
        <color rgb="FF000000"/>
        <rFont val="微软雅黑"/>
        <family val="2"/>
        <charset val="134"/>
      </rPr>
      <t>15</t>
    </r>
    <r>
      <rPr>
        <sz val="10"/>
        <color rgb="FF000000"/>
        <rFont val="Noto Sans CJK SC"/>
        <family val="2"/>
      </rPr>
      <t>日、十五日、恢复、终止措施</t>
    </r>
  </si>
  <si>
    <t>明确规定15日（或更短）等待期，期满未收到投诉或起诉通知即恢复</t>
  </si>
  <si>
    <t>有恢复机制但期限更长（如“15个工作日”）、只写“合理期限”，或完全由平台自行判断申诉是否成立</t>
  </si>
  <si>
    <t>没有任何恢复机制</t>
  </si>
  <si>
    <r>
      <rPr>
        <sz val="10"/>
        <color rgb="FF000000"/>
        <rFont val="微软雅黑"/>
        <family val="2"/>
        <charset val="134"/>
      </rPr>
      <t>① 15</t>
    </r>
    <r>
      <rPr>
        <sz val="10"/>
        <color rgb="FF000000"/>
        <rFont val="Noto Sans CJK SC"/>
        <family val="2"/>
      </rPr>
      <t>日从“声明到达权利人”起算，不是从商家提交声明起算。② “平台自行审查决定是否恢复”与法定的“期满即恢复”机制不同，很常见，值得记入疑难案例。</t>
    </r>
  </si>
  <si>
    <t>① 淘宝（IPP）：申诉后由平台“决定是否恢复商品链接”，走法定程序需另走邮箱通道——典型的平台自行审查，判部分满足。② 京东：15日从“到达”起算，但写“有权终止”且申诉先经平台审核（2.2.1），判满足但记入此处。③ 小红书：15日从“转送之日”起算（转送之日可能早于到达之日，实际等待期可能略短于法定期间），同时保留“视情况决定是否解除”，判满足。④ 快手（2026-07-09版）：没有15日期满恢复，只有投诉处理完成后出现有利证据时“有权终止或保留”措施，判部分满足。⑤ 苏宁：15日从权利人“收到申诉声明通知起”算，超时即解除，但平台会审查起诉材料，判满足。 ⑥ 抖音电商：2.2.4“有权依法终止或保留”措施，无15日期限，判部分满足。⑦ 美团：只提“十五天反通知流程”，且须平台核查通过才能进入，判部分满足。 ⑧ 拼多多：写了“在规定期限内”未收到投诉或起诉通知即及时终止措施，但未写明15日，判部分满足。</t>
  </si>
  <si>
    <t>公示通知、声明及处理结果</t>
  </si>
  <si>
    <t>电商法44条</t>
  </si>
  <si>
    <t>平台应当及时公示收到的通知、声明及处理结果。</t>
  </si>
  <si>
    <t>公示、公告、处理结果</t>
  </si>
  <si>
    <t>写明会公示通知、声明和处理结果三者</t>
  </si>
  <si>
    <t>只公示处理结果，或只在商品页标注“因侵权下架”</t>
  </si>
  <si>
    <t>没提公示</t>
  </si>
  <si>
    <t>公示信息有时放在单独页面（如“处罚公示”栏目），规则正文搜不到时去平台其他页面找。</t>
  </si>
  <si>
    <t>京东：申诉规则4.3“有权根据相关法律的规定公示双方的投诉和申诉信息”——写的是“有权”且未提处理结果，判部分满足。 抖音电商：2.4 写“有权”公示通知、声明及处理结果，三者齐全但不是承诺，暂判满足；如果你认为“有权”只算部分满足，京东和抖音应统一口径。</t>
  </si>
  <si>
    <r>
      <t xml:space="preserve">[1] </t>
    </r>
    <r>
      <rPr>
        <sz val="10"/>
        <color rgb="FF000000"/>
        <rFont val="Noto Sans CJK SC"/>
        <family val="2"/>
      </rPr>
      <t>阿里</t>
    </r>
    <r>
      <rPr>
        <sz val="10"/>
        <color rgb="FF000000"/>
        <rFont val="微软雅黑"/>
        <family val="2"/>
        <charset val="134"/>
      </rPr>
      <t>IPP</t>
    </r>
    <r>
      <rPr>
        <sz val="10"/>
        <color rgb="FF000000"/>
        <rFont val="Noto Sans CJK SC"/>
        <family val="2"/>
      </rPr>
      <t>设有专门的“原则</t>
    </r>
    <r>
      <rPr>
        <sz val="10"/>
        <color rgb="FF000000"/>
        <rFont val="微软雅黑"/>
        <family val="2"/>
        <charset val="134"/>
      </rPr>
      <t>&amp;</t>
    </r>
    <r>
      <rPr>
        <sz val="10"/>
        <color rgb="FF000000"/>
        <rFont val="Noto Sans CJK SC"/>
        <family val="2"/>
      </rPr>
      <t>政策</t>
    </r>
    <r>
      <rPr>
        <sz val="10"/>
        <color rgb="FF000000"/>
        <rFont val="微软雅黑"/>
        <family val="2"/>
        <charset val="134"/>
      </rPr>
      <t>&amp;</t>
    </r>
    <r>
      <rPr>
        <sz val="10"/>
        <color rgb="FF000000"/>
        <rFont val="Noto Sans CJK SC"/>
        <family val="2"/>
      </rPr>
      <t>规则</t>
    </r>
    <r>
      <rPr>
        <sz val="10"/>
        <color rgb="FF000000"/>
        <rFont val="微软雅黑"/>
        <family val="2"/>
        <charset val="134"/>
      </rPr>
      <t>&amp;</t>
    </r>
    <r>
      <rPr>
        <sz val="10"/>
        <color rgb="FF000000"/>
        <rFont val="Noto Sans CJK SC"/>
        <family val="2"/>
      </rPr>
      <t>指引” —— 满足。</t>
    </r>
    <r>
      <rPr>
        <sz val="10"/>
        <color rgb="FF000000"/>
        <rFont val="微软雅黑"/>
        <family val="2"/>
        <charset val="134"/>
      </rPr>
      <t xml:space="preserve">[2] </t>
    </r>
    <r>
      <rPr>
        <sz val="10"/>
        <color rgb="FF000000"/>
        <rFont val="Noto Sans CJK SC"/>
        <family val="2"/>
      </rPr>
      <t>要求“身份材料”“权利证明”及“侵权行为存在的证明文件” —— 三类齐全，满足。</t>
    </r>
    <r>
      <rPr>
        <sz val="10"/>
        <color rgb="FF000000"/>
        <rFont val="微软雅黑"/>
        <family val="2"/>
        <charset val="134"/>
      </rPr>
      <t>[3] “</t>
    </r>
    <r>
      <rPr>
        <sz val="10"/>
        <color rgb="FF000000"/>
        <rFont val="Noto Sans CJK SC"/>
        <family val="2"/>
      </rPr>
      <t>投诉成立后，相应商品链接将被移除” —— 有措施，无时限</t>
    </r>
    <r>
      <rPr>
        <sz val="10"/>
        <color rgb="FF000000"/>
        <rFont val="微软雅黑"/>
        <family val="2"/>
        <charset val="134"/>
      </rPr>
      <t>/“</t>
    </r>
    <r>
      <rPr>
        <sz val="10"/>
        <color rgb="FF000000"/>
        <rFont val="Noto Sans CJK SC"/>
        <family val="2"/>
      </rPr>
      <t>及时”承诺，部分满足。</t>
    </r>
    <r>
      <rPr>
        <sz val="10"/>
        <color rgb="FF000000"/>
        <rFont val="微软雅黑"/>
        <family val="2"/>
        <charset val="134"/>
      </rPr>
      <t>[4] “</t>
    </r>
    <r>
      <rPr>
        <sz val="10"/>
        <color rgb="FF000000"/>
        <rFont val="Noto Sans CJK SC"/>
        <family val="2"/>
      </rPr>
      <t>移除侵权链接并通知对方” —— 只写通知，未写转送投诉理由和证据，部分满足。</t>
    </r>
    <r>
      <rPr>
        <sz val="10"/>
        <color rgb="FF000000"/>
        <rFont val="微软雅黑"/>
        <family val="2"/>
        <charset val="134"/>
      </rPr>
      <t xml:space="preserve">[5] </t>
    </r>
    <r>
      <rPr>
        <sz val="10"/>
        <color rgb="FF000000"/>
        <rFont val="Noto Sans CJK SC"/>
        <family val="2"/>
      </rPr>
      <t>认为投诉存在恶意的“将对提交者采取制裁措施” —— 只有平台制裁，未告知民事责任，部分满足。</t>
    </r>
    <r>
      <rPr>
        <sz val="10"/>
        <color rgb="FF000000"/>
        <rFont val="微软雅黑"/>
        <family val="2"/>
        <charset val="134"/>
      </rPr>
      <t>[6] “</t>
    </r>
    <r>
      <rPr>
        <sz val="10"/>
        <color rgb="FF000000"/>
        <rFont val="Noto Sans CJK SC"/>
        <family val="2"/>
      </rPr>
      <t>卖家可以提交申诉” —— 指引未要求附不侵权证据，部分满足。</t>
    </r>
    <r>
      <rPr>
        <sz val="10"/>
        <color rgb="FF000000"/>
        <rFont val="微软雅黑"/>
        <family val="2"/>
        <charset val="134"/>
      </rPr>
      <t xml:space="preserve">[7] </t>
    </r>
    <r>
      <rPr>
        <sz val="10"/>
        <color rgb="FF000000"/>
        <rFont val="Noto Sans CJK SC"/>
        <family val="2"/>
      </rPr>
      <t>申诉内容“会转送给您以便作出回应” —— 有转送，未告知可投诉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起诉，部分满足。</t>
    </r>
    <r>
      <rPr>
        <sz val="10"/>
        <color rgb="FF000000"/>
        <rFont val="微软雅黑"/>
        <family val="2"/>
        <charset val="134"/>
      </rPr>
      <t xml:space="preserve">[8] </t>
    </r>
    <r>
      <rPr>
        <sz val="10"/>
        <color rgb="FF000000"/>
        <rFont val="Noto Sans CJK SC"/>
        <family val="2"/>
      </rPr>
      <t>平台“决定是否恢复商品链接” —— 平台自行判断，无</t>
    </r>
    <r>
      <rPr>
        <sz val="10"/>
        <color rgb="FF000000"/>
        <rFont val="微软雅黑"/>
        <family val="2"/>
        <charset val="134"/>
      </rPr>
      <t>15</t>
    </r>
    <r>
      <rPr>
        <sz val="10"/>
        <color rgb="FF000000"/>
        <rFont val="Noto Sans CJK SC"/>
        <family val="2"/>
      </rPr>
      <t>日期满恢复；另设邮箱通道“根据相关法律程序处理”，部分满足（见疑难案例）。</t>
    </r>
    <r>
      <rPr>
        <sz val="10"/>
        <color rgb="FF000000"/>
        <rFont val="微软雅黑"/>
        <family val="2"/>
        <charset val="134"/>
      </rPr>
      <t>[9] IPP</t>
    </r>
    <r>
      <rPr>
        <sz val="10"/>
        <color rgb="FF000000"/>
        <rFont val="Noto Sans CJK SC"/>
        <family val="2"/>
      </rPr>
      <t>政策与指引未见公示规定 —— 缺失</t>
    </r>
    <phoneticPr fontId="15" type="noConversion"/>
  </si>
  <si>
    <r>
      <t>[1] “</t>
    </r>
    <r>
      <rPr>
        <sz val="10"/>
        <color rgb="FF595959"/>
        <rFont val="Noto Sans CJK SC"/>
        <family val="2"/>
      </rPr>
      <t xml:space="preserve">投诉人应提交权利证明及侵权链接” —— 只要求权属证明，未要求侵权初步证据和身份证明，判部分满足。 </t>
    </r>
    <r>
      <rPr>
        <sz val="10"/>
        <color rgb="FF595959"/>
        <rFont val="微软雅黑"/>
        <family val="2"/>
        <charset val="134"/>
      </rPr>
      <t>[2] “</t>
    </r>
    <r>
      <rPr>
        <sz val="10"/>
        <color rgb="FF595959"/>
        <rFont val="Noto Sans CJK SC"/>
        <family val="2"/>
      </rPr>
      <t xml:space="preserve">平台将告知被投诉商家处理结果” —— 只告知结果不转送投诉内容，判部分满足。 </t>
    </r>
    <r>
      <rPr>
        <sz val="10"/>
        <color rgb="FF595959"/>
        <rFont val="微软雅黑"/>
        <family val="2"/>
        <charset val="134"/>
      </rPr>
      <t>[3] “</t>
    </r>
    <r>
      <rPr>
        <sz val="10"/>
        <color rgb="FF595959"/>
        <rFont val="Noto Sans CJK SC"/>
        <family val="2"/>
      </rPr>
      <t>申诉成立的，平台将恢复商品” —— 由平台自行判断，无</t>
    </r>
    <r>
      <rPr>
        <sz val="10"/>
        <color rgb="FF595959"/>
        <rFont val="微软雅黑"/>
        <family val="2"/>
        <charset val="134"/>
      </rPr>
      <t>15</t>
    </r>
    <r>
      <rPr>
        <sz val="10"/>
        <color rgb="FF595959"/>
        <rFont val="Noto Sans CJK SC"/>
        <family val="2"/>
      </rPr>
      <t>日期满恢复机制，判部分满足。</t>
    </r>
    <phoneticPr fontId="15" type="noConversion"/>
  </si>
  <si>
    <t>[1] 有专门的维权投诉指引和保护平台 —— 满足。[2] 3.1 要求权利人身份材料、权利证明材料、侵权链接及其他证明材料 —— 满足。[3] 4.1.1 对有效通知采取“删除、终止交易和服务等必要措施”；4.3.1 进入处理流程后“3~5个工作日左右进行处理” —— 满足。[4] 4.1.2“将有效的侵权通知转送被投诉人” —— 满足。[5] 1.1.4 恶意投诉“依法应当承担法律责任”；6.3 恶意或错误投诉造成损失的，被投诉人可要求“承担相应的赔偿责任” —— 满足。[6] 4.1.2《声明》应当包括不存在侵权行为的初步证据，并按权利类型列明证据 —— 满足。[7] 4.1.3 转送《声明》，并告知可“向有关主管部门投诉或者向人民法院起诉” —— 满足。[8] 没有15日期满恢复；只有4.1.4 投诉处理完成后出现有利证据时“有权终止或保留”措施 —— 由平台自行决定，部分满足。[9] 未提公示 —— 缺失。</t>
    <phoneticPr fontId="15" type="noConversion"/>
  </si>
  <si>
    <t>[1] 有专门的《美团知识产权投诉处理规则》 —— 满足。[2] 通知应包含权利人身份证明、权属证明文件、“构成侵权的初步证明材料” —— 三类齐全，满足。[3] 删除、屏蔽、断开只作为投诉人“有权”要求的事项出现；平台承诺“及时审查”，未承诺及时采取措施 —— 部分满足。[4] 平台“依法将有效的通知和申诉材料转送相关人员和机构” —— 满足。[5] “因投诉人通知错误…需依法承担民事责任” —— 只写错误通知，未写恶意通知，部分满足。[6] 被投诉人“有权…进行不侵权申诉”，列了申诉理由但未要求附证据；且核查属实须先整改，否则“无法形成有效申诉” —— 部分满足。[7] 转送申诉材料，未写告知权利人可投诉或起诉 —— 部分满足。[8] 只提到“十五天反通知流程”，未写起算点和期满恢复 —— 部分满足。[9] 未提公示 —— 缺失。</t>
    <phoneticPr fontId="15" type="noConversion"/>
  </si>
  <si>
    <r>
      <t xml:space="preserve">[1] </t>
    </r>
    <r>
      <rPr>
        <sz val="10"/>
        <color rgb="FF000000"/>
        <rFont val="Noto Sans CJK SC"/>
        <family val="2"/>
      </rPr>
      <t>有《苏宁易购知识产权举报平台操作指引》—— 满足。</t>
    </r>
    <r>
      <rPr>
        <sz val="10"/>
        <color rgb="FF000000"/>
        <rFont val="微软雅黑"/>
        <family val="2"/>
        <charset val="134"/>
      </rPr>
      <t xml:space="preserve">[2] </t>
    </r>
    <r>
      <rPr>
        <sz val="10"/>
        <color rgb="FF000000"/>
        <rFont val="Noto Sans CJK SC"/>
        <family val="2"/>
      </rPr>
      <t>要求身份证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营业执照、各类权利证书及“举证材料” —— 满足。</t>
    </r>
    <r>
      <rPr>
        <sz val="10"/>
        <color rgb="FF000000"/>
        <rFont val="微软雅黑"/>
        <family val="2"/>
        <charset val="134"/>
      </rPr>
      <t xml:space="preserve">[3] </t>
    </r>
    <r>
      <rPr>
        <sz val="10"/>
        <color rgb="FF000000"/>
        <rFont val="Noto Sans CJK SC"/>
        <family val="2"/>
      </rPr>
      <t>收到初步证据后“</t>
    </r>
    <r>
      <rPr>
        <sz val="10"/>
        <color rgb="FF000000"/>
        <rFont val="微软雅黑"/>
        <family val="2"/>
        <charset val="134"/>
      </rPr>
      <t>5-7</t>
    </r>
    <r>
      <rPr>
        <sz val="10"/>
        <color rgb="FF000000"/>
        <rFont val="Noto Sans CJK SC"/>
        <family val="2"/>
      </rPr>
      <t>个工作日内进行审核”，成立的采取“删除、屏蔽、断开链接等必要措施” —— 满足。</t>
    </r>
    <r>
      <rPr>
        <sz val="10"/>
        <color rgb="FF000000"/>
        <rFont val="微软雅黑"/>
        <family val="2"/>
        <charset val="134"/>
      </rPr>
      <t xml:space="preserve">[4] </t>
    </r>
    <r>
      <rPr>
        <sz val="10"/>
        <color rgb="FF000000"/>
        <rFont val="Noto Sans CJK SC"/>
        <family val="2"/>
      </rPr>
      <t>指引未写转送通知；只能从商家可“提供申诉声明”推知商家被告知 —— 部分满足。</t>
    </r>
    <r>
      <rPr>
        <sz val="10"/>
        <color rgb="FF000000"/>
        <rFont val="微软雅黑"/>
        <family val="2"/>
        <charset val="134"/>
      </rPr>
      <t xml:space="preserve">[5] </t>
    </r>
    <r>
      <rPr>
        <sz val="10"/>
        <color rgb="FF000000"/>
        <rFont val="Noto Sans CJK SC"/>
        <family val="2"/>
      </rPr>
      <t>列举了可能被“判定为恶意通知”的情形，未写法律责任 —— 部分满足。</t>
    </r>
    <r>
      <rPr>
        <sz val="10"/>
        <color rgb="FF000000"/>
        <rFont val="微软雅黑"/>
        <family val="2"/>
        <charset val="134"/>
      </rPr>
      <t xml:space="preserve">[6] </t>
    </r>
    <r>
      <rPr>
        <sz val="10"/>
        <color rgb="FF000000"/>
        <rFont val="Noto Sans CJK SC"/>
        <family val="2"/>
      </rPr>
      <t>被投诉人可提供申诉声明及“反驳证明” —— 满足。</t>
    </r>
    <r>
      <rPr>
        <sz val="10"/>
        <color rgb="FF000000"/>
        <rFont val="微软雅黑"/>
        <family val="2"/>
        <charset val="134"/>
      </rPr>
      <t xml:space="preserve">[7] </t>
    </r>
    <r>
      <rPr>
        <sz val="10"/>
        <color rgb="FF000000"/>
        <rFont val="Noto Sans CJK SC"/>
        <family val="2"/>
      </rPr>
      <t>系统将申诉声明通知投诉人，投诉人“可向相关主管部门投诉或者向人民法院起诉” —— 满足。</t>
    </r>
    <r>
      <rPr>
        <sz val="10"/>
        <color rgb="FF000000"/>
        <rFont val="微软雅黑"/>
        <family val="2"/>
        <charset val="134"/>
      </rPr>
      <t xml:space="preserve">[8] </t>
    </r>
    <r>
      <rPr>
        <sz val="10"/>
        <color rgb="FF000000"/>
        <rFont val="Noto Sans CJK SC"/>
        <family val="2"/>
      </rPr>
      <t>投诉人应“在收到申诉声明通知起</t>
    </r>
    <r>
      <rPr>
        <sz val="10"/>
        <color rgb="FF000000"/>
        <rFont val="微软雅黑"/>
        <family val="2"/>
        <charset val="134"/>
      </rPr>
      <t>15</t>
    </r>
    <r>
      <rPr>
        <sz val="10"/>
        <color rgb="FF000000"/>
        <rFont val="Noto Sans CJK SC"/>
        <family val="2"/>
      </rPr>
      <t>日之内”提交投诉或起诉材料，超时“平台将解除对被投诉人的处罚措施” —— 满足。</t>
    </r>
    <r>
      <rPr>
        <sz val="10"/>
        <color rgb="FF000000"/>
        <rFont val="微软雅黑"/>
        <family val="2"/>
        <charset val="134"/>
      </rPr>
      <t xml:space="preserve">[9] </t>
    </r>
    <r>
      <rPr>
        <sz val="10"/>
        <color rgb="FF000000"/>
        <rFont val="Noto Sans CJK SC"/>
        <family val="2"/>
      </rPr>
      <t>未提公示 —— 缺失。</t>
    </r>
    <phoneticPr fontId="15" type="noConversion"/>
  </si>
  <si>
    <r>
      <t xml:space="preserve">[1] </t>
    </r>
    <r>
      <rPr>
        <sz val="10"/>
        <color rgb="FF000000"/>
        <rFont val="Noto Sans CJK SC"/>
        <family val="2"/>
      </rPr>
      <t>有专门的《侵权投诉指引》，覆盖笔记、商品、直播 —— 满足。</t>
    </r>
    <r>
      <rPr>
        <sz val="10"/>
        <color rgb="FF000000"/>
        <rFont val="微软雅黑"/>
        <family val="2"/>
        <charset val="134"/>
      </rPr>
      <t xml:space="preserve">[2] </t>
    </r>
    <r>
      <rPr>
        <sz val="10"/>
        <color rgb="FF000000"/>
        <rFont val="Noto Sans CJK SC"/>
        <family val="2"/>
      </rPr>
      <t>要求真实身份证明、权属证明材料及“权利人书面陈述…必要的比对说明” —— 三类齐全，满足。</t>
    </r>
    <r>
      <rPr>
        <sz val="10"/>
        <color rgb="FF000000"/>
        <rFont val="微软雅黑"/>
        <family val="2"/>
        <charset val="134"/>
      </rPr>
      <t>[3] “</t>
    </r>
    <r>
      <rPr>
        <sz val="10"/>
        <color rgb="FF000000"/>
        <rFont val="Noto Sans CJK SC"/>
        <family val="2"/>
      </rPr>
      <t xml:space="preserve">通常小红书会在 </t>
    </r>
    <r>
      <rPr>
        <sz val="10"/>
        <color rgb="FF000000"/>
        <rFont val="微软雅黑"/>
        <family val="2"/>
        <charset val="134"/>
      </rPr>
      <t xml:space="preserve">7 </t>
    </r>
    <r>
      <rPr>
        <sz val="10"/>
        <color rgb="FF000000"/>
        <rFont val="Noto Sans CJK SC"/>
        <family val="2"/>
      </rPr>
      <t>日内处理您的侵权投诉”，措施包括删除、屏蔽、断开链接 —— 满足。</t>
    </r>
    <r>
      <rPr>
        <sz val="10"/>
        <color rgb="FF000000"/>
        <rFont val="微软雅黑"/>
        <family val="2"/>
        <charset val="134"/>
      </rPr>
      <t xml:space="preserve">[4] </t>
    </r>
    <r>
      <rPr>
        <sz val="10"/>
        <color rgb="FF000000"/>
        <rFont val="Noto Sans CJK SC"/>
        <family val="2"/>
      </rPr>
      <t>转送内容“包括权利人的真实身份信息和证明侵权的初步证据” —— 满足。</t>
    </r>
    <r>
      <rPr>
        <sz val="10"/>
        <color rgb="FF000000"/>
        <rFont val="微软雅黑"/>
        <family val="2"/>
        <charset val="134"/>
      </rPr>
      <t xml:space="preserve">[5] </t>
    </r>
    <r>
      <rPr>
        <sz val="10"/>
        <color rgb="FF000000"/>
        <rFont val="Noto Sans CJK SC"/>
        <family val="2"/>
      </rPr>
      <t>全文未提错误通知、恶意通知的责任 —— 缺失。</t>
    </r>
    <r>
      <rPr>
        <sz val="10"/>
        <color rgb="FF000000"/>
        <rFont val="微软雅黑"/>
        <family val="2"/>
        <charset val="134"/>
      </rPr>
      <t xml:space="preserve">[6] </t>
    </r>
    <r>
      <rPr>
        <sz val="10"/>
        <color rgb="FF000000"/>
        <rFont val="Noto Sans CJK SC"/>
        <family val="2"/>
      </rPr>
      <t>申诉须提交“认为不构成侵权的初步证据”及《未侵权声明》 —— 满足。</t>
    </r>
    <r>
      <rPr>
        <sz val="10"/>
        <color rgb="FF000000"/>
        <rFont val="微软雅黑"/>
        <family val="2"/>
        <charset val="134"/>
      </rPr>
      <t xml:space="preserve">[7] </t>
    </r>
    <r>
      <rPr>
        <sz val="10"/>
        <color rgb="FF000000"/>
        <rFont val="Noto Sans CJK SC"/>
        <family val="2"/>
      </rPr>
      <t>向权利人转送申诉，权利人可“向有关主管部门投诉或者向人民法院起诉” —— 满足。</t>
    </r>
    <r>
      <rPr>
        <sz val="10"/>
        <color rgb="FF000000"/>
        <rFont val="微软雅黑"/>
        <family val="2"/>
        <charset val="134"/>
      </rPr>
      <t>[8] “</t>
    </r>
    <r>
      <rPr>
        <sz val="10"/>
        <color rgb="FF000000"/>
        <rFont val="Noto Sans CJK SC"/>
        <family val="2"/>
      </rPr>
      <t xml:space="preserve">在向权利人转送申诉之日起 </t>
    </r>
    <r>
      <rPr>
        <sz val="10"/>
        <color rgb="FF000000"/>
        <rFont val="微软雅黑"/>
        <family val="2"/>
        <charset val="134"/>
      </rPr>
      <t xml:space="preserve">15 </t>
    </r>
    <r>
      <rPr>
        <sz val="10"/>
        <color rgb="FF000000"/>
        <rFont val="Noto Sans CJK SC"/>
        <family val="2"/>
      </rPr>
      <t>日内”未收到起诉通知的，“将解除、取消”措施 —— 满足。</t>
    </r>
    <r>
      <rPr>
        <sz val="10"/>
        <color rgb="FF000000"/>
        <rFont val="微软雅黑"/>
        <family val="2"/>
        <charset val="134"/>
      </rPr>
      <t xml:space="preserve">[9] </t>
    </r>
    <r>
      <rPr>
        <sz val="10"/>
        <color rgb="FF000000"/>
        <rFont val="Noto Sans CJK SC"/>
        <family val="2"/>
      </rPr>
      <t>未提公示 —— 缺失。</t>
    </r>
    <phoneticPr fontId="15" type="noConversion"/>
  </si>
  <si>
    <t>[1] 有专门的侵权投诉指引和得物知识产权保护平台 —— 满足。[2] 三、要求权利人身份证明材料、权利证明材料、侵权证明材料，并按权利类型列明 —— 满足。[3] 收到有效材料后“将在10-15个工作日内进行核实”，平台据此“决定是否采取必要措施” —— 时限针对核实，未写具体措施，部分满足。[4] “平台会将您提供的材料转发至被投诉方” —— 转送投诉材料，满足。[5] 投诉人保证承担“一切法律后果”，包括平台采取措施给“得物App用户及得物App”造成的损失 —— 写了错误投诉的赔偿责任，未写恶意通知，部分满足。[6] 引言提到平台依据“被投诉方可能提交的申诉材料”进行判断 —— 有申诉的说法，但没有申诉渠道、声明内容和证据要求，部分满足。[7] 未写将申诉转送权利人，也未告知可投诉或起诉 —— 缺失。[8] 由平台综合双方材料“决定是否采取必要措施”，没有任何期满恢复机制 —— 缺失。[9] 未提公示 —— 缺失。</t>
    <phoneticPr fontId="15" type="noConversion"/>
  </si>
  <si>
    <t>[1] 设立知识产权保护管理部门，有专门制度和保护平台 —— 满足。[2] 投诉须提交“知识产权权利证明文件、涉嫌侵权商品链接、构成侵权初步证据等材料” —— 有权属和侵权证据，正文未写身份材料，只要求注册账号），部分满足。[3] 构成有效通知的，“平台将及时采取必要措施” —— 有“及时”承诺，但没写具体措施，部分满足。[4] “并将该通知转送平台内商家” —— 满足。[5] 列举权利人恶意行为，平台可不予处理、终止措施、限制投诉权益 —— 只有平台处置，未告知错误/恶意通知的法律责任，部分满足。[6] 不侵权声明“应当包括不存在侵权行为的初步证据” —— 满足。[7] 声明经审核后“转送给权利人，并告知其可以向有关主管部门投诉或者向人民法院起诉” —— 满足。[8] “在规定期限内”未收到投诉或起诉通知的，“将及时终止所采取的相关措施” —— 有期满终止机制，但没写明15日，部分满足。[9] 制度中未提公示 —— 缺失）。</t>
    <phoneticPr fontId="15" type="noConversion"/>
  </si>
  <si>
    <r>
      <t xml:space="preserve">[1] </t>
    </r>
    <r>
      <rPr>
        <sz val="10"/>
        <color rgb="FF000000"/>
        <rFont val="Noto Sans CJK SC"/>
        <family val="2"/>
      </rPr>
      <t>设有《知产维权投诉处理规则》《知产维权申诉处理规则》等专门规则 —— 满足。</t>
    </r>
    <r>
      <rPr>
        <sz val="10"/>
        <color rgb="FF000000"/>
        <rFont val="微软雅黑"/>
        <family val="2"/>
        <charset val="134"/>
      </rPr>
      <t xml:space="preserve">[2] </t>
    </r>
    <r>
      <rPr>
        <sz val="10"/>
        <color rgb="FF000000"/>
        <rFont val="Noto Sans CJK SC"/>
        <family val="2"/>
      </rPr>
      <t>申诉规则</t>
    </r>
    <r>
      <rPr>
        <sz val="10"/>
        <color rgb="FF000000"/>
        <rFont val="微软雅黑"/>
        <family val="2"/>
        <charset val="134"/>
      </rPr>
      <t>2.1.1</t>
    </r>
    <r>
      <rPr>
        <sz val="10"/>
        <color rgb="FF000000"/>
        <rFont val="Noto Sans CJK SC"/>
        <family val="2"/>
      </rPr>
      <t>：商家逾期未申诉的，平台“有权”下架或删除、屏蔽、断开链接 —— 措施写明但为“有权”且无处理时限，部分满足。</t>
    </r>
    <r>
      <rPr>
        <sz val="10"/>
        <color rgb="FF000000"/>
        <rFont val="微软雅黑"/>
        <family val="2"/>
        <charset val="134"/>
      </rPr>
      <t xml:space="preserve">[3] </t>
    </r>
    <r>
      <rPr>
        <sz val="10"/>
        <color rgb="FF000000"/>
        <rFont val="Noto Sans CJK SC"/>
        <family val="2"/>
      </rPr>
      <t>申诉规则</t>
    </r>
    <r>
      <rPr>
        <sz val="10"/>
        <color rgb="FF000000"/>
        <rFont val="微软雅黑"/>
        <family val="2"/>
        <charset val="134"/>
      </rPr>
      <t>2.1.1“</t>
    </r>
    <r>
      <rPr>
        <sz val="10"/>
        <color rgb="FF000000"/>
        <rFont val="Noto Sans CJK SC"/>
        <family val="2"/>
      </rPr>
      <t>接到平台方转发的投诉材料之日起” —— 转送投诉材料，满足。</t>
    </r>
    <r>
      <rPr>
        <sz val="10"/>
        <color rgb="FF000000"/>
        <rFont val="微软雅黑"/>
        <family val="2"/>
        <charset val="134"/>
      </rPr>
      <t xml:space="preserve">[4] </t>
    </r>
    <r>
      <rPr>
        <sz val="10"/>
        <color rgb="FF000000"/>
        <rFont val="Noto Sans CJK SC"/>
        <family val="2"/>
      </rPr>
      <t>申诉规则</t>
    </r>
    <r>
      <rPr>
        <sz val="10"/>
        <color rgb="FF000000"/>
        <rFont val="微软雅黑"/>
        <family val="2"/>
        <charset val="134"/>
      </rPr>
      <t>4.2</t>
    </r>
    <r>
      <rPr>
        <sz val="10"/>
        <color rgb="FF000000"/>
        <rFont val="Noto Sans CJK SC"/>
        <family val="2"/>
      </rPr>
      <t>：通知错误造成损害或恶意发出错误通知的，申诉人可要求投诉人“承担相应赔偿责任” —— 两种情形都写了，满足。</t>
    </r>
    <r>
      <rPr>
        <sz val="10"/>
        <color rgb="FF000000"/>
        <rFont val="微软雅黑"/>
        <family val="2"/>
        <charset val="134"/>
      </rPr>
      <t xml:space="preserve">[5] </t>
    </r>
    <r>
      <rPr>
        <sz val="10"/>
        <color rgb="FF000000"/>
        <rFont val="Noto Sans CJK SC"/>
        <family val="2"/>
      </rPr>
      <t>申诉规则</t>
    </r>
    <r>
      <rPr>
        <sz val="10"/>
        <color rgb="FF000000"/>
        <rFont val="微软雅黑"/>
        <family val="2"/>
        <charset val="134"/>
      </rPr>
      <t>2.1.2</t>
    </r>
    <r>
      <rPr>
        <sz val="10"/>
        <color rgb="FF000000"/>
        <rFont val="Noto Sans CJK SC"/>
        <family val="2"/>
      </rPr>
      <t>列明各类不侵权证明材料，并要求书面理由 —— 满足。</t>
    </r>
    <r>
      <rPr>
        <sz val="10"/>
        <color rgb="FF000000"/>
        <rFont val="微软雅黑"/>
        <family val="2"/>
        <charset val="134"/>
      </rPr>
      <t xml:space="preserve">[6] </t>
    </r>
    <r>
      <rPr>
        <sz val="10"/>
        <color rgb="FF000000"/>
        <rFont val="Noto Sans CJK SC"/>
        <family val="2"/>
      </rPr>
      <t>申诉规则</t>
    </r>
    <r>
      <rPr>
        <sz val="10"/>
        <color rgb="FF000000"/>
        <rFont val="微软雅黑"/>
        <family val="2"/>
        <charset val="134"/>
      </rPr>
      <t>2.2.2</t>
    </r>
    <r>
      <rPr>
        <sz val="10"/>
        <color rgb="FF000000"/>
        <rFont val="Noto Sans CJK SC"/>
        <family val="2"/>
      </rPr>
      <t>：转送申诉材料，投诉人可在</t>
    </r>
    <r>
      <rPr>
        <sz val="10"/>
        <color rgb="FF000000"/>
        <rFont val="微软雅黑"/>
        <family val="2"/>
        <charset val="134"/>
      </rPr>
      <t>15</t>
    </r>
    <r>
      <rPr>
        <sz val="10"/>
        <color rgb="FF000000"/>
        <rFont val="Noto Sans CJK SC"/>
        <family val="2"/>
      </rPr>
      <t>天内“向有关主管部门投诉或者向人民法院起诉” —— 满足。</t>
    </r>
    <r>
      <rPr>
        <sz val="10"/>
        <color rgb="FF000000"/>
        <rFont val="微软雅黑"/>
        <family val="2"/>
        <charset val="134"/>
      </rPr>
      <t xml:space="preserve">[7] </t>
    </r>
    <r>
      <rPr>
        <sz val="10"/>
        <color rgb="FF000000"/>
        <rFont val="Noto Sans CJK SC"/>
        <family val="2"/>
      </rPr>
      <t>申诉规则</t>
    </r>
    <r>
      <rPr>
        <sz val="10"/>
        <color rgb="FF000000"/>
        <rFont val="微软雅黑"/>
        <family val="2"/>
        <charset val="134"/>
      </rPr>
      <t>2.2.4</t>
    </r>
    <r>
      <rPr>
        <sz val="10"/>
        <color rgb="FF000000"/>
        <rFont val="Noto Sans CJK SC"/>
        <family val="2"/>
      </rPr>
      <t>：转送声明“到达”权利人后</t>
    </r>
    <r>
      <rPr>
        <sz val="10"/>
        <color rgb="FF000000"/>
        <rFont val="微软雅黑"/>
        <family val="2"/>
        <charset val="134"/>
      </rPr>
      <t>15</t>
    </r>
    <r>
      <rPr>
        <sz val="10"/>
        <color rgb="FF000000"/>
        <rFont val="Noto Sans CJK SC"/>
        <family val="2"/>
      </rPr>
      <t>日内未收到投诉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起诉通知的，“有权终止”措施 —— 起算点正确，满足（但写“有权”而非“应当”）。</t>
    </r>
    <r>
      <rPr>
        <sz val="10"/>
        <color rgb="FF000000"/>
        <rFont val="微软雅黑"/>
        <family val="2"/>
        <charset val="134"/>
      </rPr>
      <t xml:space="preserve">[8] </t>
    </r>
    <r>
      <rPr>
        <sz val="10"/>
        <color rgb="FF000000"/>
        <rFont val="Noto Sans CJK SC"/>
        <family val="2"/>
      </rPr>
      <t>申诉规则</t>
    </r>
    <r>
      <rPr>
        <sz val="10"/>
        <color rgb="FF000000"/>
        <rFont val="微软雅黑"/>
        <family val="2"/>
        <charset val="134"/>
      </rPr>
      <t>4.3“</t>
    </r>
    <r>
      <rPr>
        <sz val="10"/>
        <color rgb="FF000000"/>
        <rFont val="Noto Sans CJK SC"/>
        <family val="2"/>
      </rPr>
      <t>有权…公示双方的投诉和申诉信息” —— 未提处理结果，且为“有权”非承诺，部分满足。</t>
    </r>
    <phoneticPr fontId="15" type="noConversion"/>
  </si>
  <si>
    <t>[1] 有专门规则，经抖音电商知识产权保护平台受理 —— 满足。[2] 2.1.1 要求“提交知识产权权利证明材料、相关举证材料” —— 有权属证明和侵权证据，规则正文未写身份材料（只要求注册投诉账号），部分满足。[3] 2.2.1“会及时处理”，并采取“删除、终止交易和服务等必要措施” —— 满足。[4] 2.2.2“将有效的侵权通知转送被投诉人” —— 满足。[5] 1.2 恶意投诉“依法应当承担法律责任”；4.3 错误通知或恶意投诉造成损失的，被投诉人可要求“承担相应赔偿责任” —— 满足。[6] 2.2.2 声明“应当包括不存在侵权行为的初步证据” —— 满足。[7] 2.2.3 转送声明，并告知可“向有关主管部门投诉或者向人民法院起诉” —— 满足。[8] 2.2.4“平台有权依法终止或保留”所采取的措施 —— 没有15日期限，由平台自行决定，部分满足。[9] 2.4“有权依照法律规定公示”通知、声明及处理结果 —— 三者都写了，满足（措辞为“有权”）。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</si>
</sst>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4"/>
      <color rgb="FF1F4E79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0"/>
      <color rgb="FF000000"/>
      <name val="微软雅黑"/>
      <family val="2"/>
      <charset val="134"/>
    </font>
    <font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  <font>
      <b/>
      <sz val="10"/>
      <color rgb="FFFFFFFF"/>
      <name val="微软雅黑"/>
      <family val="2"/>
      <charset val="134"/>
    </font>
    <font>
      <b/>
      <sz val="10"/>
      <color rgb="FFFFFFFF"/>
      <name val="Noto Sans CJK SC"/>
      <family val="2"/>
    </font>
    <font>
      <sz val="10"/>
      <color rgb="FF595959"/>
      <name val="Noto Sans CJK SC"/>
      <family val="2"/>
      <charset val="1"/>
    </font>
    <font>
      <sz val="10"/>
      <color rgb="FF595959"/>
      <name val="微软雅黑"/>
      <family val="2"/>
      <charset val="134"/>
    </font>
    <font>
      <sz val="10"/>
      <color rgb="FF595959"/>
      <name val="Noto Sans CJK SC"/>
      <family val="2"/>
    </font>
    <font>
      <sz val="10"/>
      <color rgb="FF1F4E79"/>
      <name val="微软雅黑"/>
      <family val="2"/>
      <charset val="134"/>
    </font>
    <font>
      <b/>
      <sz val="10"/>
      <color rgb="FF1F4E79"/>
      <name val="Noto Sans CJK SC"/>
      <family val="2"/>
      <charset val="1"/>
    </font>
    <font>
      <b/>
      <sz val="10"/>
      <color rgb="FF000000"/>
      <name val="Noto Sans CJK SC"/>
      <family val="2"/>
      <charset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top" wrapText="1"/>
    </xf>
    <xf numFmtId="0" fontId="12" fillId="5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4"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/>
  <cols>
    <col min="1" max="1" width="6" customWidth="1"/>
    <col min="2" max="2" width="16" customWidth="1"/>
    <col min="3" max="3" width="8" customWidth="1"/>
    <col min="4" max="4" width="18" customWidth="1"/>
    <col min="5" max="5" width="28" customWidth="1"/>
    <col min="6" max="6" width="36" customWidth="1"/>
    <col min="7" max="7" width="12" customWidth="1"/>
    <col min="8" max="8" width="16" customWidth="1"/>
    <col min="9" max="9" width="26" customWidth="1"/>
    <col min="10" max="10" width="13" customWidth="1"/>
    <col min="11" max="11" width="34" customWidth="1"/>
  </cols>
  <sheetData>
    <row r="1" spans="1:11" ht="17.25" customHeight="1">
      <c r="A1" s="1" t="s">
        <v>0</v>
      </c>
    </row>
    <row r="2" spans="1:11" ht="14.25" customHeight="1">
      <c r="A2" s="2" t="s">
        <v>1</v>
      </c>
    </row>
    <row r="4" spans="1:11" ht="28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26.25" customHeight="1">
      <c r="A5" s="4">
        <v>1</v>
      </c>
      <c r="B5" s="5" t="s">
        <v>13</v>
      </c>
      <c r="C5" s="6" t="s">
        <v>14</v>
      </c>
      <c r="D5" s="5" t="s">
        <v>15</v>
      </c>
      <c r="E5" s="7" t="s">
        <v>16</v>
      </c>
      <c r="F5" s="8" t="s">
        <v>17</v>
      </c>
      <c r="G5" s="8" t="s">
        <v>18</v>
      </c>
      <c r="H5" s="7" t="s">
        <v>19</v>
      </c>
      <c r="I5" s="8"/>
      <c r="J5" s="9" t="s">
        <v>20</v>
      </c>
      <c r="K5" s="5" t="s">
        <v>21</v>
      </c>
    </row>
    <row r="6" spans="1:11" ht="15" customHeight="1">
      <c r="A6" s="4">
        <v>2</v>
      </c>
      <c r="B6" s="5" t="s">
        <v>22</v>
      </c>
      <c r="C6" s="6" t="s">
        <v>23</v>
      </c>
      <c r="D6" s="5" t="s">
        <v>15</v>
      </c>
      <c r="E6" s="7" t="s">
        <v>24</v>
      </c>
      <c r="F6" s="8" t="s">
        <v>25</v>
      </c>
      <c r="G6" s="8" t="s">
        <v>18</v>
      </c>
      <c r="H6" s="8" t="s">
        <v>26</v>
      </c>
      <c r="I6" s="8"/>
      <c r="J6" s="9" t="s">
        <v>27</v>
      </c>
      <c r="K6" s="9"/>
    </row>
    <row r="7" spans="1:11" ht="15" customHeight="1">
      <c r="A7" s="4">
        <v>3</v>
      </c>
      <c r="B7" s="5" t="s">
        <v>28</v>
      </c>
      <c r="C7" s="6" t="s">
        <v>23</v>
      </c>
      <c r="D7" s="5" t="s">
        <v>15</v>
      </c>
      <c r="E7" s="7" t="s">
        <v>29</v>
      </c>
      <c r="F7" s="8" t="s">
        <v>30</v>
      </c>
      <c r="G7" s="8" t="s">
        <v>31</v>
      </c>
      <c r="H7" s="7" t="s">
        <v>32</v>
      </c>
      <c r="I7" s="8"/>
      <c r="J7" s="9" t="s">
        <v>33</v>
      </c>
      <c r="K7" s="9"/>
    </row>
    <row r="8" spans="1:11" ht="15" customHeight="1">
      <c r="A8" s="4">
        <v>4</v>
      </c>
      <c r="B8" s="5" t="s">
        <v>34</v>
      </c>
      <c r="C8" s="6" t="s">
        <v>23</v>
      </c>
      <c r="D8" s="5" t="s">
        <v>35</v>
      </c>
      <c r="E8" s="7" t="s">
        <v>36</v>
      </c>
      <c r="F8" s="8" t="s">
        <v>37</v>
      </c>
      <c r="G8" s="8" t="s">
        <v>31</v>
      </c>
      <c r="H8" s="7" t="s">
        <v>38</v>
      </c>
      <c r="I8" s="8"/>
      <c r="J8" s="9" t="s">
        <v>39</v>
      </c>
      <c r="K8" s="9"/>
    </row>
    <row r="9" spans="1:11" ht="15" customHeight="1">
      <c r="A9" s="4">
        <v>5</v>
      </c>
      <c r="B9" s="5" t="s">
        <v>40</v>
      </c>
      <c r="C9" s="6" t="s">
        <v>14</v>
      </c>
      <c r="D9" s="5" t="s">
        <v>35</v>
      </c>
      <c r="E9" s="7" t="s">
        <v>41</v>
      </c>
      <c r="F9" s="8" t="s">
        <v>42</v>
      </c>
      <c r="G9" s="8" t="s">
        <v>31</v>
      </c>
      <c r="H9" s="8" t="s">
        <v>43</v>
      </c>
      <c r="I9" s="8"/>
      <c r="J9" s="9" t="s">
        <v>44</v>
      </c>
      <c r="K9" s="9"/>
    </row>
    <row r="10" spans="1:11" ht="15" customHeight="1">
      <c r="A10" s="4">
        <v>6</v>
      </c>
      <c r="B10" s="5" t="s">
        <v>45</v>
      </c>
      <c r="C10" s="6" t="s">
        <v>23</v>
      </c>
      <c r="D10" s="5" t="s">
        <v>46</v>
      </c>
      <c r="E10" s="7" t="s">
        <v>47</v>
      </c>
      <c r="F10" s="8" t="s">
        <v>48</v>
      </c>
      <c r="G10" s="8" t="s">
        <v>18</v>
      </c>
      <c r="H10" s="7" t="s">
        <v>32</v>
      </c>
      <c r="I10" s="8"/>
      <c r="J10" s="9" t="s">
        <v>49</v>
      </c>
      <c r="K10" s="9"/>
    </row>
    <row r="11" spans="1:11" ht="15" customHeight="1">
      <c r="A11" s="4">
        <v>7</v>
      </c>
      <c r="B11" s="5" t="s">
        <v>50</v>
      </c>
      <c r="C11" s="6" t="s">
        <v>23</v>
      </c>
      <c r="D11" s="5" t="s">
        <v>51</v>
      </c>
      <c r="E11" s="7" t="s">
        <v>52</v>
      </c>
      <c r="F11" s="8" t="s">
        <v>53</v>
      </c>
      <c r="G11" s="8" t="s">
        <v>31</v>
      </c>
      <c r="H11" s="7" t="s">
        <v>32</v>
      </c>
      <c r="I11" s="8"/>
      <c r="J11" s="9" t="s">
        <v>54</v>
      </c>
      <c r="K11" s="9"/>
    </row>
    <row r="12" spans="1:11" ht="15" customHeight="1">
      <c r="A12" s="4">
        <v>8</v>
      </c>
      <c r="B12" s="5" t="s">
        <v>55</v>
      </c>
      <c r="C12" s="6" t="s">
        <v>56</v>
      </c>
      <c r="D12" s="5" t="s">
        <v>15</v>
      </c>
      <c r="E12" s="8"/>
      <c r="F12" s="8"/>
      <c r="G12" s="8"/>
      <c r="H12" s="8"/>
      <c r="I12" s="8"/>
      <c r="J12" s="9" t="s">
        <v>57</v>
      </c>
      <c r="K12" s="5" t="s">
        <v>58</v>
      </c>
    </row>
    <row r="13" spans="1:11" ht="15" customHeight="1">
      <c r="A13" s="4">
        <v>9</v>
      </c>
      <c r="B13" s="5" t="s">
        <v>59</v>
      </c>
      <c r="C13" s="6" t="s">
        <v>23</v>
      </c>
      <c r="D13" s="5" t="s">
        <v>15</v>
      </c>
      <c r="E13" s="7" t="s">
        <v>60</v>
      </c>
      <c r="F13" s="8" t="s">
        <v>61</v>
      </c>
      <c r="G13" s="8" t="s">
        <v>18</v>
      </c>
      <c r="H13" s="7" t="s">
        <v>32</v>
      </c>
      <c r="I13" s="8"/>
      <c r="J13" s="9" t="s">
        <v>62</v>
      </c>
      <c r="K13" s="9"/>
    </row>
    <row r="14" spans="1:11" ht="15" customHeight="1">
      <c r="A14" s="4">
        <v>10</v>
      </c>
      <c r="B14" s="5" t="s">
        <v>63</v>
      </c>
      <c r="C14" s="6" t="s">
        <v>56</v>
      </c>
      <c r="D14" s="5" t="s">
        <v>64</v>
      </c>
      <c r="E14" s="8"/>
      <c r="F14" s="8"/>
      <c r="G14" s="8"/>
      <c r="H14" s="8"/>
      <c r="I14" s="8"/>
      <c r="J14" s="9" t="s">
        <v>65</v>
      </c>
      <c r="K14" s="5" t="s">
        <v>66</v>
      </c>
    </row>
    <row r="15" spans="1:11" ht="15" customHeight="1">
      <c r="A15" s="4">
        <v>11</v>
      </c>
      <c r="B15" s="9" t="s">
        <v>67</v>
      </c>
      <c r="C15" s="6" t="s">
        <v>56</v>
      </c>
      <c r="D15" s="9" t="s">
        <v>68</v>
      </c>
      <c r="E15" s="8"/>
      <c r="F15" s="8"/>
      <c r="G15" s="8"/>
      <c r="H15" s="8"/>
      <c r="I15" s="8"/>
      <c r="J15" s="9" t="s">
        <v>69</v>
      </c>
      <c r="K15" s="5" t="s">
        <v>66</v>
      </c>
    </row>
    <row r="16" spans="1:11" ht="15" customHeight="1">
      <c r="A16" s="4">
        <v>12</v>
      </c>
      <c r="B16" s="5" t="s">
        <v>70</v>
      </c>
      <c r="C16" s="6" t="s">
        <v>23</v>
      </c>
      <c r="D16" s="5" t="s">
        <v>71</v>
      </c>
      <c r="E16" s="7" t="s">
        <v>72</v>
      </c>
      <c r="F16" s="8" t="s">
        <v>73</v>
      </c>
      <c r="G16" s="8" t="s">
        <v>31</v>
      </c>
      <c r="H16" s="7" t="s">
        <v>32</v>
      </c>
      <c r="I16" s="8"/>
      <c r="J16" s="9" t="s">
        <v>74</v>
      </c>
      <c r="K16" s="9"/>
    </row>
    <row r="17" spans="1:11" ht="15" customHeight="1">
      <c r="A17" s="4">
        <v>13</v>
      </c>
      <c r="B17" s="5" t="s">
        <v>75</v>
      </c>
      <c r="C17" s="6" t="s">
        <v>56</v>
      </c>
      <c r="D17" s="5" t="s">
        <v>46</v>
      </c>
      <c r="E17" s="7" t="s">
        <v>76</v>
      </c>
      <c r="F17" s="8" t="s">
        <v>77</v>
      </c>
      <c r="G17" s="8" t="s">
        <v>18</v>
      </c>
      <c r="H17" s="8" t="s">
        <v>78</v>
      </c>
      <c r="I17" s="8"/>
      <c r="J17" s="9" t="s">
        <v>79</v>
      </c>
      <c r="K17" s="10" t="s">
        <v>80</v>
      </c>
    </row>
    <row r="18" spans="1:11" ht="15" customHeight="1">
      <c r="A18" s="4">
        <v>14</v>
      </c>
      <c r="B18" s="5" t="s">
        <v>81</v>
      </c>
      <c r="C18" s="6" t="s">
        <v>56</v>
      </c>
      <c r="D18" s="5" t="s">
        <v>64</v>
      </c>
      <c r="E18" s="8"/>
      <c r="F18" s="8"/>
      <c r="G18" s="8"/>
      <c r="H18" s="8"/>
      <c r="I18" s="8"/>
      <c r="J18" s="9" t="s">
        <v>82</v>
      </c>
      <c r="K18" s="10" t="s">
        <v>80</v>
      </c>
    </row>
    <row r="19" spans="1:11" ht="26.25" customHeight="1">
      <c r="A19" s="4">
        <v>15</v>
      </c>
      <c r="B19" s="5" t="s">
        <v>83</v>
      </c>
      <c r="C19" s="6" t="s">
        <v>56</v>
      </c>
      <c r="D19" s="5" t="s">
        <v>84</v>
      </c>
      <c r="E19" s="8"/>
      <c r="F19" s="8"/>
      <c r="G19" s="8"/>
      <c r="H19" s="8"/>
      <c r="I19" s="8"/>
      <c r="J19" s="9" t="s">
        <v>85</v>
      </c>
      <c r="K19" s="10" t="s">
        <v>80</v>
      </c>
    </row>
    <row r="20" spans="1:11" ht="26.25" customHeight="1">
      <c r="A20" s="4">
        <v>16</v>
      </c>
      <c r="B20" s="5" t="s">
        <v>86</v>
      </c>
      <c r="C20" s="6" t="s">
        <v>56</v>
      </c>
      <c r="D20" s="5" t="s">
        <v>87</v>
      </c>
      <c r="E20" s="8"/>
      <c r="F20" s="8"/>
      <c r="G20" s="8"/>
      <c r="H20" s="8"/>
      <c r="I20" s="8"/>
      <c r="J20" s="9" t="s">
        <v>88</v>
      </c>
      <c r="K20" s="10" t="s">
        <v>80</v>
      </c>
    </row>
    <row r="21" spans="1:11" ht="15" customHeight="1">
      <c r="A21" s="4">
        <v>17</v>
      </c>
      <c r="B21" s="5" t="s">
        <v>89</v>
      </c>
      <c r="C21" s="6" t="s">
        <v>56</v>
      </c>
      <c r="D21" s="5" t="s">
        <v>46</v>
      </c>
      <c r="E21" s="8"/>
      <c r="F21" s="8"/>
      <c r="G21" s="8"/>
      <c r="H21" s="8"/>
      <c r="I21" s="8"/>
      <c r="J21" s="9" t="s">
        <v>90</v>
      </c>
      <c r="K21" s="10" t="s">
        <v>80</v>
      </c>
    </row>
    <row r="22" spans="1:11" ht="15" customHeight="1">
      <c r="A22" s="4">
        <v>18</v>
      </c>
      <c r="B22" s="5" t="s">
        <v>91</v>
      </c>
      <c r="C22" s="6" t="s">
        <v>56</v>
      </c>
      <c r="D22" s="5" t="s">
        <v>92</v>
      </c>
      <c r="E22" s="8"/>
      <c r="F22" s="8"/>
      <c r="G22" s="8"/>
      <c r="H22" s="8"/>
      <c r="I22" s="8"/>
      <c r="J22" s="9" t="s">
        <v>93</v>
      </c>
      <c r="K22" s="10" t="s">
        <v>80</v>
      </c>
    </row>
    <row r="23" spans="1:11" ht="15" customHeight="1">
      <c r="A23" s="4">
        <v>19</v>
      </c>
      <c r="B23" s="5" t="s">
        <v>94</v>
      </c>
      <c r="C23" s="6" t="s">
        <v>56</v>
      </c>
      <c r="D23" s="5" t="s">
        <v>46</v>
      </c>
      <c r="E23" s="8"/>
      <c r="F23" s="8"/>
      <c r="G23" s="8"/>
      <c r="H23" s="8"/>
      <c r="I23" s="8"/>
      <c r="J23" s="9" t="s">
        <v>95</v>
      </c>
      <c r="K23" s="10" t="s">
        <v>80</v>
      </c>
    </row>
    <row r="24" spans="1:11" ht="15" customHeight="1">
      <c r="A24" s="4">
        <v>20</v>
      </c>
      <c r="B24" s="5" t="s">
        <v>96</v>
      </c>
      <c r="C24" s="6" t="s">
        <v>56</v>
      </c>
      <c r="D24" s="5" t="s">
        <v>97</v>
      </c>
      <c r="E24" s="8"/>
      <c r="F24" s="8"/>
      <c r="G24" s="8"/>
      <c r="H24" s="8"/>
      <c r="I24" s="8"/>
      <c r="J24" s="9" t="s">
        <v>98</v>
      </c>
      <c r="K24" s="10" t="s">
        <v>80</v>
      </c>
    </row>
  </sheetData>
  <phoneticPr fontId="15" type="noConversion"/>
  <dataValidations count="1">
    <dataValidation type="list" sqref="C5:C24" xr:uid="{00000000-0002-0000-0000-000000000000}">
      <formula1>"例题,考卷,未使用"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tabSelected="1" zoomScaleNormal="100" workbookViewId="0">
      <pane xSplit="3" ySplit="5" topLeftCell="E6" activePane="bottomRight" state="frozen"/>
      <selection pane="topRight" activeCell="D1" sqref="D1"/>
      <selection pane="bottomLeft" activeCell="A6" sqref="A6"/>
      <selection pane="bottomRight" activeCell="M8" sqref="M8"/>
    </sheetView>
  </sheetViews>
  <sheetFormatPr defaultColWidth="8.6640625" defaultRowHeight="14.4"/>
  <cols>
    <col min="1" max="1" width="6" customWidth="1"/>
    <col min="2" max="2" width="16" customWidth="1"/>
    <col min="3" max="3" width="8" customWidth="1"/>
    <col min="4" max="12" width="13" customWidth="1"/>
    <col min="13" max="13" width="60" customWidth="1"/>
    <col min="14" max="14" width="7" customWidth="1"/>
    <col min="15" max="15" width="9" customWidth="1"/>
    <col min="16" max="16" width="7" customWidth="1"/>
    <col min="17" max="17" width="8" customWidth="1"/>
    <col min="18" max="18" width="10" customWidth="1"/>
  </cols>
  <sheetData>
    <row r="1" spans="1:18" ht="17.25" customHeight="1">
      <c r="A1" s="1" t="s">
        <v>99</v>
      </c>
    </row>
    <row r="2" spans="1:18" ht="14.25" customHeight="1">
      <c r="A2" s="2" t="s">
        <v>100</v>
      </c>
    </row>
    <row r="4" spans="1:18" ht="57.75" customHeight="1">
      <c r="A4" s="3" t="s">
        <v>2</v>
      </c>
      <c r="B4" s="3" t="s">
        <v>3</v>
      </c>
      <c r="C4" s="3" t="s">
        <v>4</v>
      </c>
      <c r="D4" s="11" t="s">
        <v>101</v>
      </c>
      <c r="E4" s="11" t="s">
        <v>102</v>
      </c>
      <c r="F4" s="11" t="s">
        <v>103</v>
      </c>
      <c r="G4" s="11" t="s">
        <v>104</v>
      </c>
      <c r="H4" s="11" t="s">
        <v>105</v>
      </c>
      <c r="I4" s="11" t="s">
        <v>106</v>
      </c>
      <c r="J4" s="11" t="s">
        <v>107</v>
      </c>
      <c r="K4" s="11" t="s">
        <v>108</v>
      </c>
      <c r="L4" s="11" t="s">
        <v>109</v>
      </c>
      <c r="M4" s="3" t="s">
        <v>110</v>
      </c>
      <c r="N4" s="3" t="s">
        <v>111</v>
      </c>
      <c r="O4" s="3" t="s">
        <v>112</v>
      </c>
      <c r="P4" s="3" t="s">
        <v>113</v>
      </c>
      <c r="Q4" s="3" t="s">
        <v>114</v>
      </c>
      <c r="R4" s="3" t="s">
        <v>115</v>
      </c>
    </row>
    <row r="5" spans="1:18" ht="72.75" customHeight="1">
      <c r="A5" s="12" t="s">
        <v>116</v>
      </c>
      <c r="B5" s="12" t="s">
        <v>117</v>
      </c>
      <c r="C5" s="12" t="s">
        <v>118</v>
      </c>
      <c r="D5" s="12" t="s">
        <v>111</v>
      </c>
      <c r="E5" s="12" t="s">
        <v>112</v>
      </c>
      <c r="F5" s="12" t="s">
        <v>111</v>
      </c>
      <c r="G5" s="12" t="s">
        <v>112</v>
      </c>
      <c r="H5" s="12" t="s">
        <v>113</v>
      </c>
      <c r="I5" s="12" t="s">
        <v>111</v>
      </c>
      <c r="J5" s="12" t="s">
        <v>112</v>
      </c>
      <c r="K5" s="12" t="s">
        <v>112</v>
      </c>
      <c r="L5" s="12" t="s">
        <v>113</v>
      </c>
      <c r="M5" s="13" t="s">
        <v>206</v>
      </c>
      <c r="N5" s="14">
        <f t="shared" ref="N5:N14" si="0">COUNTIF(D5:L5,"满足")</f>
        <v>3</v>
      </c>
      <c r="O5" s="14">
        <f t="shared" ref="O5:O14" si="1">COUNTIF(D5:L5,"部分满足")</f>
        <v>4</v>
      </c>
      <c r="P5" s="14">
        <f t="shared" ref="P5:P14" si="2">COUNTIF(D5:L5,"缺失")</f>
        <v>2</v>
      </c>
      <c r="Q5" s="14">
        <f t="shared" ref="Q5:Q14" si="3">COUNTIF(D5:L5,"不适用")</f>
        <v>0</v>
      </c>
      <c r="R5" s="14">
        <f t="shared" ref="R5:R14" si="4">COUNTA(D5:L5)</f>
        <v>9</v>
      </c>
    </row>
    <row r="6" spans="1:18" ht="15" customHeight="1">
      <c r="A6" s="4">
        <v>1</v>
      </c>
      <c r="B6" s="4" t="str">
        <f>来源登记!B5</f>
        <v>淘宝（含天猫）</v>
      </c>
      <c r="C6" s="4" t="str">
        <f>来源登记!C5</f>
        <v>例题</v>
      </c>
      <c r="D6" s="15" t="s">
        <v>111</v>
      </c>
      <c r="E6" s="15" t="s">
        <v>111</v>
      </c>
      <c r="F6" s="15" t="s">
        <v>112</v>
      </c>
      <c r="G6" s="15" t="s">
        <v>112</v>
      </c>
      <c r="H6" s="15" t="s">
        <v>112</v>
      </c>
      <c r="I6" s="15" t="s">
        <v>112</v>
      </c>
      <c r="J6" s="15" t="s">
        <v>112</v>
      </c>
      <c r="K6" s="15" t="s">
        <v>112</v>
      </c>
      <c r="L6" s="15" t="s">
        <v>113</v>
      </c>
      <c r="M6" s="8" t="s">
        <v>205</v>
      </c>
      <c r="N6" s="16">
        <f t="shared" si="0"/>
        <v>2</v>
      </c>
      <c r="O6" s="16">
        <f t="shared" si="1"/>
        <v>6</v>
      </c>
      <c r="P6" s="16">
        <f t="shared" si="2"/>
        <v>1</v>
      </c>
      <c r="Q6" s="16">
        <f t="shared" si="3"/>
        <v>0</v>
      </c>
      <c r="R6" s="16">
        <f t="shared" si="4"/>
        <v>9</v>
      </c>
    </row>
    <row r="7" spans="1:18" ht="15" customHeight="1">
      <c r="A7" s="4">
        <v>2</v>
      </c>
      <c r="B7" s="4" t="str">
        <f>来源登记!B6</f>
        <v>京东</v>
      </c>
      <c r="C7" s="4" t="str">
        <f>来源登记!C6</f>
        <v>考卷</v>
      </c>
      <c r="D7" s="15" t="s">
        <v>111</v>
      </c>
      <c r="E7" s="15" t="s">
        <v>111</v>
      </c>
      <c r="F7" s="15" t="s">
        <v>112</v>
      </c>
      <c r="G7" s="15" t="s">
        <v>111</v>
      </c>
      <c r="H7" s="15" t="s">
        <v>111</v>
      </c>
      <c r="I7" s="15" t="s">
        <v>111</v>
      </c>
      <c r="J7" s="15" t="s">
        <v>111</v>
      </c>
      <c r="K7" s="15" t="s">
        <v>111</v>
      </c>
      <c r="L7" s="15" t="s">
        <v>112</v>
      </c>
      <c r="M7" s="8" t="s">
        <v>213</v>
      </c>
      <c r="N7" s="16">
        <f t="shared" si="0"/>
        <v>7</v>
      </c>
      <c r="O7" s="16">
        <f t="shared" si="1"/>
        <v>2</v>
      </c>
      <c r="P7" s="16">
        <f t="shared" si="2"/>
        <v>0</v>
      </c>
      <c r="Q7" s="16">
        <f t="shared" si="3"/>
        <v>0</v>
      </c>
      <c r="R7" s="16">
        <f t="shared" si="4"/>
        <v>9</v>
      </c>
    </row>
    <row r="8" spans="1:18" ht="15" customHeight="1">
      <c r="A8" s="4">
        <v>3</v>
      </c>
      <c r="B8" s="4" t="str">
        <f>来源登记!B7</f>
        <v>拼多多</v>
      </c>
      <c r="C8" s="4" t="str">
        <f>来源登记!C7</f>
        <v>考卷</v>
      </c>
      <c r="D8" s="15" t="s">
        <v>111</v>
      </c>
      <c r="E8" s="15" t="s">
        <v>112</v>
      </c>
      <c r="F8" s="15" t="s">
        <v>112</v>
      </c>
      <c r="G8" s="15" t="s">
        <v>111</v>
      </c>
      <c r="H8" s="15" t="s">
        <v>112</v>
      </c>
      <c r="I8" s="15" t="s">
        <v>111</v>
      </c>
      <c r="J8" s="15" t="s">
        <v>111</v>
      </c>
      <c r="K8" s="15" t="s">
        <v>112</v>
      </c>
      <c r="L8" s="15" t="s">
        <v>113</v>
      </c>
      <c r="M8" s="7" t="s">
        <v>212</v>
      </c>
      <c r="N8" s="16">
        <f t="shared" si="0"/>
        <v>4</v>
      </c>
      <c r="O8" s="16">
        <f t="shared" si="1"/>
        <v>4</v>
      </c>
      <c r="P8" s="16">
        <f t="shared" si="2"/>
        <v>1</v>
      </c>
      <c r="Q8" s="16">
        <f t="shared" si="3"/>
        <v>0</v>
      </c>
      <c r="R8" s="16">
        <f t="shared" si="4"/>
        <v>9</v>
      </c>
    </row>
    <row r="9" spans="1:18" ht="15" customHeight="1">
      <c r="A9" s="4">
        <v>4</v>
      </c>
      <c r="B9" s="4" t="str">
        <f>来源登记!B8</f>
        <v>抖音电商</v>
      </c>
      <c r="C9" s="4" t="str">
        <f>来源登记!C8</f>
        <v>考卷</v>
      </c>
      <c r="D9" s="15" t="s">
        <v>111</v>
      </c>
      <c r="E9" s="15" t="s">
        <v>112</v>
      </c>
      <c r="F9" s="15" t="s">
        <v>111</v>
      </c>
      <c r="G9" s="15" t="s">
        <v>111</v>
      </c>
      <c r="H9" s="15" t="s">
        <v>111</v>
      </c>
      <c r="I9" s="15" t="s">
        <v>111</v>
      </c>
      <c r="J9" s="15" t="s">
        <v>111</v>
      </c>
      <c r="K9" s="15" t="s">
        <v>112</v>
      </c>
      <c r="L9" s="15" t="s">
        <v>111</v>
      </c>
      <c r="M9" s="7" t="s">
        <v>214</v>
      </c>
      <c r="N9" s="16">
        <f t="shared" si="0"/>
        <v>7</v>
      </c>
      <c r="O9" s="16">
        <f t="shared" si="1"/>
        <v>2</v>
      </c>
      <c r="P9" s="16">
        <f t="shared" si="2"/>
        <v>0</v>
      </c>
      <c r="Q9" s="16">
        <f t="shared" si="3"/>
        <v>0</v>
      </c>
      <c r="R9" s="16">
        <f t="shared" si="4"/>
        <v>9</v>
      </c>
    </row>
    <row r="10" spans="1:18" ht="15" customHeight="1">
      <c r="A10" s="4">
        <v>5</v>
      </c>
      <c r="B10" s="4" t="str">
        <f>来源登记!B9</f>
        <v>快手电商</v>
      </c>
      <c r="C10" s="4" t="str">
        <f>来源登记!C9</f>
        <v>例题</v>
      </c>
      <c r="D10" s="15" t="s">
        <v>111</v>
      </c>
      <c r="E10" s="15" t="s">
        <v>111</v>
      </c>
      <c r="F10" s="15" t="s">
        <v>111</v>
      </c>
      <c r="G10" s="15" t="s">
        <v>111</v>
      </c>
      <c r="H10" s="15" t="s">
        <v>111</v>
      </c>
      <c r="I10" s="15" t="s">
        <v>111</v>
      </c>
      <c r="J10" s="15" t="s">
        <v>111</v>
      </c>
      <c r="K10" s="15" t="s">
        <v>112</v>
      </c>
      <c r="L10" s="15" t="s">
        <v>113</v>
      </c>
      <c r="M10" s="7" t="s">
        <v>207</v>
      </c>
      <c r="N10" s="16">
        <f t="shared" si="0"/>
        <v>7</v>
      </c>
      <c r="O10" s="16">
        <f t="shared" si="1"/>
        <v>1</v>
      </c>
      <c r="P10" s="16">
        <f t="shared" si="2"/>
        <v>1</v>
      </c>
      <c r="Q10" s="16">
        <f t="shared" si="3"/>
        <v>0</v>
      </c>
      <c r="R10" s="16">
        <f t="shared" si="4"/>
        <v>9</v>
      </c>
    </row>
    <row r="11" spans="1:18" ht="15" customHeight="1">
      <c r="A11" s="4">
        <v>6</v>
      </c>
      <c r="B11" s="4" t="str">
        <f>来源登记!B10</f>
        <v>小红书</v>
      </c>
      <c r="C11" s="4" t="str">
        <f>来源登记!C10</f>
        <v>考卷</v>
      </c>
      <c r="D11" s="15" t="s">
        <v>111</v>
      </c>
      <c r="E11" s="15" t="s">
        <v>111</v>
      </c>
      <c r="F11" s="15" t="s">
        <v>111</v>
      </c>
      <c r="G11" s="15" t="s">
        <v>111</v>
      </c>
      <c r="H11" s="15" t="s">
        <v>113</v>
      </c>
      <c r="I11" s="15" t="s">
        <v>111</v>
      </c>
      <c r="J11" s="15" t="s">
        <v>111</v>
      </c>
      <c r="K11" s="15" t="s">
        <v>111</v>
      </c>
      <c r="L11" s="15" t="s">
        <v>113</v>
      </c>
      <c r="M11" s="8" t="s">
        <v>210</v>
      </c>
      <c r="N11" s="16">
        <f t="shared" si="0"/>
        <v>7</v>
      </c>
      <c r="O11" s="16">
        <f t="shared" si="1"/>
        <v>0</v>
      </c>
      <c r="P11" s="16">
        <f t="shared" si="2"/>
        <v>2</v>
      </c>
      <c r="Q11" s="16">
        <f t="shared" si="3"/>
        <v>0</v>
      </c>
      <c r="R11" s="16">
        <f t="shared" si="4"/>
        <v>9</v>
      </c>
    </row>
    <row r="12" spans="1:18" ht="15" customHeight="1">
      <c r="A12" s="4">
        <v>7</v>
      </c>
      <c r="B12" s="4" t="str">
        <f>来源登记!B11</f>
        <v>得物</v>
      </c>
      <c r="C12" s="4" t="str">
        <f>来源登记!C11</f>
        <v>考卷</v>
      </c>
      <c r="D12" s="15" t="s">
        <v>111</v>
      </c>
      <c r="E12" s="15" t="s">
        <v>111</v>
      </c>
      <c r="F12" s="15" t="s">
        <v>112</v>
      </c>
      <c r="G12" s="15" t="s">
        <v>111</v>
      </c>
      <c r="H12" s="15" t="s">
        <v>112</v>
      </c>
      <c r="I12" s="15" t="s">
        <v>112</v>
      </c>
      <c r="J12" s="15" t="s">
        <v>113</v>
      </c>
      <c r="K12" s="15" t="s">
        <v>113</v>
      </c>
      <c r="L12" s="15" t="s">
        <v>113</v>
      </c>
      <c r="M12" s="7" t="s">
        <v>211</v>
      </c>
      <c r="N12" s="16">
        <f t="shared" si="0"/>
        <v>3</v>
      </c>
      <c r="O12" s="16">
        <f t="shared" si="1"/>
        <v>3</v>
      </c>
      <c r="P12" s="16">
        <f t="shared" si="2"/>
        <v>3</v>
      </c>
      <c r="Q12" s="16">
        <f t="shared" si="3"/>
        <v>0</v>
      </c>
      <c r="R12" s="16">
        <f t="shared" si="4"/>
        <v>9</v>
      </c>
    </row>
    <row r="13" spans="1:18" ht="15" customHeight="1">
      <c r="A13" s="4">
        <v>9</v>
      </c>
      <c r="B13" s="4" t="str">
        <f>来源登记!B13</f>
        <v>苏宁易购</v>
      </c>
      <c r="C13" s="4" t="str">
        <f>来源登记!C13</f>
        <v>考卷</v>
      </c>
      <c r="D13" s="15" t="s">
        <v>111</v>
      </c>
      <c r="E13" s="15" t="s">
        <v>111</v>
      </c>
      <c r="F13" s="15" t="s">
        <v>111</v>
      </c>
      <c r="G13" s="15" t="s">
        <v>112</v>
      </c>
      <c r="H13" s="15" t="s">
        <v>112</v>
      </c>
      <c r="I13" s="15" t="s">
        <v>111</v>
      </c>
      <c r="J13" s="15" t="s">
        <v>111</v>
      </c>
      <c r="K13" s="15" t="s">
        <v>111</v>
      </c>
      <c r="L13" s="15" t="s">
        <v>113</v>
      </c>
      <c r="M13" s="8" t="s">
        <v>209</v>
      </c>
      <c r="N13" s="16">
        <f t="shared" si="0"/>
        <v>6</v>
      </c>
      <c r="O13" s="16">
        <f t="shared" si="1"/>
        <v>2</v>
      </c>
      <c r="P13" s="16">
        <f t="shared" si="2"/>
        <v>1</v>
      </c>
      <c r="Q13" s="16">
        <f t="shared" si="3"/>
        <v>0</v>
      </c>
      <c r="R13" s="16">
        <f t="shared" si="4"/>
        <v>9</v>
      </c>
    </row>
    <row r="14" spans="1:18" ht="15" customHeight="1">
      <c r="A14" s="4">
        <v>12</v>
      </c>
      <c r="B14" s="4" t="str">
        <f>来源登记!B16</f>
        <v>美团</v>
      </c>
      <c r="C14" s="4" t="str">
        <f>来源登记!C16</f>
        <v>考卷</v>
      </c>
      <c r="D14" s="15" t="s">
        <v>111</v>
      </c>
      <c r="E14" s="15" t="s">
        <v>111</v>
      </c>
      <c r="F14" s="15" t="s">
        <v>112</v>
      </c>
      <c r="G14" s="15" t="s">
        <v>111</v>
      </c>
      <c r="H14" s="15" t="s">
        <v>112</v>
      </c>
      <c r="I14" s="15" t="s">
        <v>112</v>
      </c>
      <c r="J14" s="15" t="s">
        <v>112</v>
      </c>
      <c r="K14" s="15" t="s">
        <v>112</v>
      </c>
      <c r="L14" s="15" t="s">
        <v>113</v>
      </c>
      <c r="M14" s="7" t="s">
        <v>208</v>
      </c>
      <c r="N14" s="16">
        <f t="shared" si="0"/>
        <v>3</v>
      </c>
      <c r="O14" s="16">
        <f t="shared" si="1"/>
        <v>5</v>
      </c>
      <c r="P14" s="16">
        <f t="shared" si="2"/>
        <v>1</v>
      </c>
      <c r="Q14" s="16">
        <f t="shared" si="3"/>
        <v>0</v>
      </c>
      <c r="R14" s="16">
        <f t="shared" si="4"/>
        <v>9</v>
      </c>
    </row>
    <row r="16" spans="1:18" ht="14.25" customHeight="1">
      <c r="B16" s="17" t="s">
        <v>119</v>
      </c>
    </row>
    <row r="17" spans="3:12" ht="15" customHeight="1">
      <c r="C17" s="18" t="s">
        <v>111</v>
      </c>
      <c r="D17" s="16">
        <f t="shared" ref="D17:L17" si="5">COUNTIFS($C$6:$C$14,"考卷",D6:D14,"满足")</f>
        <v>7</v>
      </c>
      <c r="E17" s="16">
        <f t="shared" si="5"/>
        <v>5</v>
      </c>
      <c r="F17" s="16">
        <f t="shared" si="5"/>
        <v>3</v>
      </c>
      <c r="G17" s="16">
        <f t="shared" si="5"/>
        <v>6</v>
      </c>
      <c r="H17" s="16">
        <f t="shared" si="5"/>
        <v>2</v>
      </c>
      <c r="I17" s="16">
        <f t="shared" si="5"/>
        <v>5</v>
      </c>
      <c r="J17" s="16">
        <f t="shared" si="5"/>
        <v>5</v>
      </c>
      <c r="K17" s="16">
        <f t="shared" si="5"/>
        <v>3</v>
      </c>
      <c r="L17" s="16">
        <f t="shared" si="5"/>
        <v>1</v>
      </c>
    </row>
    <row r="18" spans="3:12" ht="26.25" customHeight="1">
      <c r="C18" s="18" t="s">
        <v>112</v>
      </c>
      <c r="D18" s="16">
        <f t="shared" ref="D18:L18" si="6">COUNTIFS($C$6:$C$14,"考卷",D6:D14,"部分满足")</f>
        <v>0</v>
      </c>
      <c r="E18" s="16">
        <f t="shared" si="6"/>
        <v>2</v>
      </c>
      <c r="F18" s="16">
        <f t="shared" si="6"/>
        <v>4</v>
      </c>
      <c r="G18" s="16">
        <f t="shared" si="6"/>
        <v>1</v>
      </c>
      <c r="H18" s="16">
        <f t="shared" si="6"/>
        <v>4</v>
      </c>
      <c r="I18" s="16">
        <f t="shared" si="6"/>
        <v>2</v>
      </c>
      <c r="J18" s="16">
        <f t="shared" si="6"/>
        <v>1</v>
      </c>
      <c r="K18" s="16">
        <f t="shared" si="6"/>
        <v>3</v>
      </c>
      <c r="L18" s="16">
        <f t="shared" si="6"/>
        <v>1</v>
      </c>
    </row>
    <row r="19" spans="3:12" ht="15" customHeight="1">
      <c r="C19" s="18" t="s">
        <v>113</v>
      </c>
      <c r="D19" s="16">
        <f t="shared" ref="D19:L19" si="7">COUNTIFS($C$6:$C$14,"考卷",D6:D14,"缺失")</f>
        <v>0</v>
      </c>
      <c r="E19" s="16">
        <f t="shared" si="7"/>
        <v>0</v>
      </c>
      <c r="F19" s="16">
        <f t="shared" si="7"/>
        <v>0</v>
      </c>
      <c r="G19" s="16">
        <f t="shared" si="7"/>
        <v>0</v>
      </c>
      <c r="H19" s="16">
        <f t="shared" si="7"/>
        <v>1</v>
      </c>
      <c r="I19" s="16">
        <f t="shared" si="7"/>
        <v>0</v>
      </c>
      <c r="J19" s="16">
        <f t="shared" si="7"/>
        <v>1</v>
      </c>
      <c r="K19" s="16">
        <f t="shared" si="7"/>
        <v>1</v>
      </c>
      <c r="L19" s="16">
        <f t="shared" si="7"/>
        <v>5</v>
      </c>
    </row>
    <row r="20" spans="3:12" ht="15" customHeight="1">
      <c r="C20" s="18" t="s">
        <v>114</v>
      </c>
      <c r="D20" s="16">
        <f t="shared" ref="D20:L20" si="8">COUNTIFS($C$6:$C$14,"考卷",D6:D14,"不适用")</f>
        <v>0</v>
      </c>
      <c r="E20" s="16">
        <f t="shared" si="8"/>
        <v>0</v>
      </c>
      <c r="F20" s="16">
        <f t="shared" si="8"/>
        <v>0</v>
      </c>
      <c r="G20" s="16">
        <f t="shared" si="8"/>
        <v>0</v>
      </c>
      <c r="H20" s="16">
        <f t="shared" si="8"/>
        <v>0</v>
      </c>
      <c r="I20" s="16">
        <f t="shared" si="8"/>
        <v>0</v>
      </c>
      <c r="J20" s="16">
        <f t="shared" si="8"/>
        <v>0</v>
      </c>
      <c r="K20" s="16">
        <f t="shared" si="8"/>
        <v>0</v>
      </c>
      <c r="L20" s="16">
        <f t="shared" si="8"/>
        <v>0</v>
      </c>
    </row>
    <row r="21" spans="3:12" ht="15" customHeight="1">
      <c r="C21" s="18" t="s">
        <v>120</v>
      </c>
      <c r="D21" s="16">
        <f t="shared" ref="D21:L21" si="9">COUNTIFS($C$6:$C$14,"考卷",D6:D14,"&lt;&gt;")</f>
        <v>7</v>
      </c>
      <c r="E21" s="16">
        <f t="shared" si="9"/>
        <v>7</v>
      </c>
      <c r="F21" s="16">
        <f t="shared" si="9"/>
        <v>7</v>
      </c>
      <c r="G21" s="16">
        <f t="shared" si="9"/>
        <v>7</v>
      </c>
      <c r="H21" s="16">
        <f t="shared" si="9"/>
        <v>7</v>
      </c>
      <c r="I21" s="16">
        <f t="shared" si="9"/>
        <v>7</v>
      </c>
      <c r="J21" s="16">
        <f t="shared" si="9"/>
        <v>7</v>
      </c>
      <c r="K21" s="16">
        <f t="shared" si="9"/>
        <v>7</v>
      </c>
      <c r="L21" s="16">
        <f t="shared" si="9"/>
        <v>7</v>
      </c>
    </row>
  </sheetData>
  <phoneticPr fontId="15" type="noConversion"/>
  <conditionalFormatting sqref="D6:L14">
    <cfRule type="cellIs" dxfId="3" priority="2" operator="equal">
      <formula>"满足"</formula>
    </cfRule>
    <cfRule type="cellIs" dxfId="2" priority="3" operator="equal">
      <formula>"部分满足"</formula>
    </cfRule>
    <cfRule type="cellIs" dxfId="1" priority="4" operator="equal">
      <formula>"缺失"</formula>
    </cfRule>
    <cfRule type="cellIs" dxfId="0" priority="5" operator="equal">
      <formula>"不适用"</formula>
    </cfRule>
  </conditionalFormatting>
  <dataValidations count="1">
    <dataValidation type="list" allowBlank="1" showErrorMessage="1" errorTitle="请从下拉列表选择" error="只能填写：满足 / 部分满足 / 缺失 / 不适用" sqref="D6:L14" xr:uid="{00000000-0002-0000-0100-000000000000}">
      <formula1>"满足,部分满足,缺失,不适用"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/>
  <cols>
    <col min="1" max="1" width="6" customWidth="1"/>
    <col min="2" max="2" width="18" customWidth="1"/>
    <col min="3" max="3" width="16" customWidth="1"/>
    <col min="4" max="4" width="34" customWidth="1"/>
    <col min="5" max="5" width="20" customWidth="1"/>
    <col min="6" max="6" width="28" customWidth="1"/>
    <col min="7" max="7" width="30" customWidth="1"/>
    <col min="8" max="8" width="22" customWidth="1"/>
    <col min="9" max="9" width="14" customWidth="1"/>
    <col min="10" max="10" width="36" customWidth="1"/>
    <col min="11" max="11" width="40" customWidth="1"/>
  </cols>
  <sheetData>
    <row r="1" spans="1:11" ht="17.25" customHeight="1">
      <c r="A1" s="1" t="s">
        <v>121</v>
      </c>
    </row>
    <row r="2" spans="1:11" ht="14.25" customHeight="1">
      <c r="A2" s="2" t="s">
        <v>122</v>
      </c>
    </row>
    <row r="4" spans="1:11" ht="15" customHeight="1">
      <c r="A4" s="3" t="s">
        <v>2</v>
      </c>
      <c r="B4" s="3" t="s">
        <v>123</v>
      </c>
      <c r="C4" s="3" t="s">
        <v>124</v>
      </c>
      <c r="D4" s="3" t="s">
        <v>125</v>
      </c>
      <c r="E4" s="3" t="s">
        <v>126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127</v>
      </c>
      <c r="K4" s="3" t="s">
        <v>128</v>
      </c>
    </row>
    <row r="5" spans="1:11" ht="94.5" customHeight="1">
      <c r="A5" s="4">
        <v>1</v>
      </c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  <c r="G5" s="5" t="s">
        <v>134</v>
      </c>
      <c r="H5" s="5" t="s">
        <v>135</v>
      </c>
      <c r="I5" s="5" t="s">
        <v>136</v>
      </c>
      <c r="J5" s="5" t="s">
        <v>137</v>
      </c>
      <c r="K5" s="8"/>
    </row>
    <row r="6" spans="1:11" ht="94.5" customHeight="1">
      <c r="A6" s="4">
        <v>2</v>
      </c>
      <c r="B6" s="5" t="s">
        <v>138</v>
      </c>
      <c r="C6" s="5" t="s">
        <v>139</v>
      </c>
      <c r="D6" s="5" t="s">
        <v>140</v>
      </c>
      <c r="E6" s="5" t="s">
        <v>141</v>
      </c>
      <c r="F6" s="5" t="s">
        <v>142</v>
      </c>
      <c r="G6" s="5" t="s">
        <v>143</v>
      </c>
      <c r="H6" s="5" t="s">
        <v>144</v>
      </c>
      <c r="I6" s="5" t="s">
        <v>136</v>
      </c>
      <c r="J6" s="5" t="s">
        <v>145</v>
      </c>
      <c r="K6" s="7" t="s">
        <v>146</v>
      </c>
    </row>
    <row r="7" spans="1:11" ht="94.5" customHeight="1">
      <c r="A7" s="4">
        <v>3</v>
      </c>
      <c r="B7" s="5" t="s">
        <v>147</v>
      </c>
      <c r="C7" s="5" t="s">
        <v>148</v>
      </c>
      <c r="D7" s="5" t="s">
        <v>149</v>
      </c>
      <c r="E7" s="5" t="s">
        <v>150</v>
      </c>
      <c r="F7" s="5" t="s">
        <v>151</v>
      </c>
      <c r="G7" s="5" t="s">
        <v>152</v>
      </c>
      <c r="H7" s="5" t="s">
        <v>153</v>
      </c>
      <c r="I7" s="5" t="s">
        <v>136</v>
      </c>
      <c r="J7" s="5" t="s">
        <v>154</v>
      </c>
      <c r="K7" s="7" t="s">
        <v>155</v>
      </c>
    </row>
    <row r="8" spans="1:11" ht="94.5" customHeight="1">
      <c r="A8" s="4">
        <v>4</v>
      </c>
      <c r="B8" s="5" t="s">
        <v>156</v>
      </c>
      <c r="C8" s="5" t="s">
        <v>148</v>
      </c>
      <c r="D8" s="5" t="s">
        <v>157</v>
      </c>
      <c r="E8" s="5" t="s">
        <v>158</v>
      </c>
      <c r="F8" s="5" t="s">
        <v>159</v>
      </c>
      <c r="G8" s="5" t="s">
        <v>160</v>
      </c>
      <c r="H8" s="5" t="s">
        <v>161</v>
      </c>
      <c r="I8" s="5" t="s">
        <v>136</v>
      </c>
      <c r="J8" s="5" t="s">
        <v>162</v>
      </c>
      <c r="K8" s="7" t="s">
        <v>163</v>
      </c>
    </row>
    <row r="9" spans="1:11" ht="94.5" customHeight="1">
      <c r="A9" s="4">
        <v>5</v>
      </c>
      <c r="B9" s="5" t="s">
        <v>164</v>
      </c>
      <c r="C9" s="5" t="s">
        <v>165</v>
      </c>
      <c r="D9" s="5" t="s">
        <v>166</v>
      </c>
      <c r="E9" s="5" t="s">
        <v>167</v>
      </c>
      <c r="F9" s="5" t="s">
        <v>168</v>
      </c>
      <c r="G9" s="5" t="s">
        <v>169</v>
      </c>
      <c r="H9" s="5" t="s">
        <v>170</v>
      </c>
      <c r="I9" s="5" t="s">
        <v>136</v>
      </c>
      <c r="J9" s="5" t="s">
        <v>171</v>
      </c>
      <c r="K9" s="8"/>
    </row>
    <row r="10" spans="1:11" ht="94.5" customHeight="1">
      <c r="A10" s="4">
        <v>6</v>
      </c>
      <c r="B10" s="5" t="s">
        <v>172</v>
      </c>
      <c r="C10" s="5" t="s">
        <v>173</v>
      </c>
      <c r="D10" s="5" t="s">
        <v>174</v>
      </c>
      <c r="E10" s="5" t="s">
        <v>175</v>
      </c>
      <c r="F10" s="5" t="s">
        <v>176</v>
      </c>
      <c r="G10" s="5" t="s">
        <v>177</v>
      </c>
      <c r="H10" s="5" t="s">
        <v>178</v>
      </c>
      <c r="I10" s="5" t="s">
        <v>136</v>
      </c>
      <c r="J10" s="5" t="s">
        <v>179</v>
      </c>
      <c r="K10" s="7" t="s">
        <v>180</v>
      </c>
    </row>
    <row r="11" spans="1:11" ht="94.5" customHeight="1">
      <c r="A11" s="4">
        <v>7</v>
      </c>
      <c r="B11" s="5" t="s">
        <v>181</v>
      </c>
      <c r="C11" s="5" t="s">
        <v>173</v>
      </c>
      <c r="D11" s="5" t="s">
        <v>182</v>
      </c>
      <c r="E11" s="5" t="s">
        <v>183</v>
      </c>
      <c r="F11" s="5" t="s">
        <v>184</v>
      </c>
      <c r="G11" s="5" t="s">
        <v>185</v>
      </c>
      <c r="H11" s="5" t="s">
        <v>186</v>
      </c>
      <c r="I11" s="5" t="s">
        <v>136</v>
      </c>
      <c r="J11" s="9"/>
      <c r="K11" s="8"/>
    </row>
    <row r="12" spans="1:11" ht="94.5" customHeight="1">
      <c r="A12" s="4">
        <v>8</v>
      </c>
      <c r="B12" s="9" t="s">
        <v>187</v>
      </c>
      <c r="C12" s="5" t="s">
        <v>188</v>
      </c>
      <c r="D12" s="5" t="s">
        <v>189</v>
      </c>
      <c r="E12" s="9" t="s">
        <v>190</v>
      </c>
      <c r="F12" s="5" t="s">
        <v>191</v>
      </c>
      <c r="G12" s="5" t="s">
        <v>192</v>
      </c>
      <c r="H12" s="5" t="s">
        <v>193</v>
      </c>
      <c r="I12" s="5" t="s">
        <v>136</v>
      </c>
      <c r="J12" s="9" t="s">
        <v>194</v>
      </c>
      <c r="K12" s="7" t="s">
        <v>195</v>
      </c>
    </row>
    <row r="13" spans="1:11" ht="94.5" customHeight="1">
      <c r="A13" s="4">
        <v>9</v>
      </c>
      <c r="B13" s="5" t="s">
        <v>196</v>
      </c>
      <c r="C13" s="5" t="s">
        <v>197</v>
      </c>
      <c r="D13" s="5" t="s">
        <v>198</v>
      </c>
      <c r="E13" s="5" t="s">
        <v>199</v>
      </c>
      <c r="F13" s="5" t="s">
        <v>200</v>
      </c>
      <c r="G13" s="5" t="s">
        <v>201</v>
      </c>
      <c r="H13" s="5" t="s">
        <v>202</v>
      </c>
      <c r="I13" s="5" t="s">
        <v>136</v>
      </c>
      <c r="J13" s="5" t="s">
        <v>203</v>
      </c>
      <c r="K13" s="7" t="s">
        <v>204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来源登记</vt:lpstr>
      <vt:lpstr>标注表</vt:lpstr>
      <vt:lpstr>判断标准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文卓 李</cp:lastModifiedBy>
  <cp:revision>0</cp:revision>
  <dcterms:created xsi:type="dcterms:W3CDTF">2026-09-19T15:23:39Z</dcterms:created>
  <dcterms:modified xsi:type="dcterms:W3CDTF">2026-09-20T07:30:16Z</dcterms:modified>
  <dc:language>en-US</dc:language>
</cp:coreProperties>
</file>